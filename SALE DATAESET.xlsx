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hidePivotFieldList="1" defaultThemeVersion="166925"/>
  <mc:AlternateContent xmlns:mc="http://schemas.openxmlformats.org/markup-compatibility/2006">
    <mc:Choice Requires="x15">
      <x15ac:absPath xmlns:x15ac="http://schemas.microsoft.com/office/spreadsheetml/2010/11/ac" url="C:\Users\Omolara\Desktop\laraexc\"/>
    </mc:Choice>
  </mc:AlternateContent>
  <xr:revisionPtr revIDLastSave="0" documentId="13_ncr:1_{4150EEE9-4AF6-431C-BA5D-C8A30AD85CB3}" xr6:coauthVersionLast="47" xr6:coauthVersionMax="47" xr10:uidLastSave="{00000000-0000-0000-0000-000000000000}"/>
  <bookViews>
    <workbookView xWindow="-120" yWindow="-120" windowWidth="20730" windowHeight="11160" activeTab="1" xr2:uid="{21B8A710-2388-4DED-A344-3ABF9DB2987C}"/>
  </bookViews>
  <sheets>
    <sheet name="PIVOT TABLE &amp; CHART" sheetId="3" r:id="rId1"/>
    <sheet name="Sales_Dataset_Upwork_Portfolio" sheetId="2" r:id="rId2"/>
    <sheet name="DASHBOARD" sheetId="1" r:id="rId3"/>
  </sheets>
  <definedNames>
    <definedName name="ExternalData_1" localSheetId="1" hidden="1">Sales_Dataset_Upwork_Portfolio!$A$1:$G$121</definedName>
    <definedName name="Slicer_Product">#N/A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26" i="2" l="1"/>
  <c r="F125" i="2"/>
  <c r="F12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DEF2BB-5046-4390-A12A-69CDE3D16C49}" keepAlive="1" name="Query - Sales_Dataset_Upwork_Portfolio" description="Connection to the 'Sales_Dataset_Upwork_Portfolio' query in the workbook." type="5" refreshedVersion="7" background="1" saveData="1">
    <dbPr connection="Provider=Microsoft.Mashup.OleDb.1;Data Source=$Workbook$;Location=Sales_Dataset_Upwork_Portfolio;Extended Properties=&quot;&quot;" command="SELECT * FROM [Sales_Dataset_Upwork_Portfolio]"/>
  </connection>
</connections>
</file>

<file path=xl/sharedStrings.xml><?xml version="1.0" encoding="utf-8"?>
<sst xmlns="http://schemas.openxmlformats.org/spreadsheetml/2006/main" count="404" uniqueCount="34">
  <si>
    <t>Date</t>
  </si>
  <si>
    <t>Product</t>
  </si>
  <si>
    <t>Category</t>
  </si>
  <si>
    <t>Quantity</t>
  </si>
  <si>
    <t>Unit Price ($)</t>
  </si>
  <si>
    <t>Total Sales ($)</t>
  </si>
  <si>
    <t>Region</t>
  </si>
  <si>
    <t>Laptop</t>
  </si>
  <si>
    <t>Electronics</t>
  </si>
  <si>
    <t>Ibadan</t>
  </si>
  <si>
    <t>Phone</t>
  </si>
  <si>
    <t>Lagos</t>
  </si>
  <si>
    <t>Mouse</t>
  </si>
  <si>
    <t>Accessories</t>
  </si>
  <si>
    <t>Port Harcourt</t>
  </si>
  <si>
    <t>Abuja</t>
  </si>
  <si>
    <t>Keyboard</t>
  </si>
  <si>
    <t>Monitor</t>
  </si>
  <si>
    <t>Headset</t>
  </si>
  <si>
    <t>Row Labels</t>
  </si>
  <si>
    <t>Grand Total</t>
  </si>
  <si>
    <t>Sum of Total Sales ($)</t>
  </si>
  <si>
    <t>Jan</t>
  </si>
  <si>
    <t>Feb</t>
  </si>
  <si>
    <t>Mar</t>
  </si>
  <si>
    <t>Apr</t>
  </si>
  <si>
    <t>May</t>
  </si>
  <si>
    <t>Jun</t>
  </si>
  <si>
    <t>SUM</t>
  </si>
  <si>
    <t>AVERAGE</t>
  </si>
  <si>
    <t>MAX</t>
  </si>
  <si>
    <t>Total Sales</t>
  </si>
  <si>
    <t>Average of Total Sales ($)</t>
  </si>
  <si>
    <t>Max of Total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</si>
</sst>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quot;$&quot;* #,##0_);_(&quot;$&quot;* \(#,##0\);_(&quot;$&quot;* &quot;-&quot;??_);_(@_)"/>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1" applyNumberFormat="1" applyFont="1"/>
    <xf numFmtId="0" fontId="0" fillId="0" borderId="0" xfId="0" applyNumberFormat="1"/>
    <xf numFmtId="164" fontId="0" fillId="0" borderId="0" xfId="0" applyNumberFormat="1"/>
  </cellXfs>
  <cellStyles count="2">
    <cellStyle name="Currency" xfId="1" builtinId="4"/>
    <cellStyle name="Normal" xfId="0" builtinId="0"/>
  </cellStyles>
  <dxfs count="8">
    <dxf>
      <numFmt numFmtId="164" formatCode="_(&quot;$&quot;* #,##0_);_(&quot;$&quot;* \(#,##0\);_(&quot;$&quot;* &quot;-&quot;??_);_(@_)"/>
    </dxf>
    <dxf>
      <numFmt numFmtId="164" formatCode="_(&quot;$&quot;* #,##0_);_(&quot;$&quot;* \(#,##0\);_(&quot;$&quot;* &quot;-&quot;??_);_(@_)"/>
    </dxf>
    <dxf>
      <numFmt numFmtId="164" formatCode="_(&quot;$&quot;* #,##0_);_(&quot;$&quot;* \(#,##0\);_(&quot;$&quot;* &quot;-&quot;??_);_(@_)"/>
    </dxf>
    <dxf>
      <numFmt numFmtId="0" formatCode="General"/>
    </dxf>
    <dxf>
      <numFmt numFmtId="164" formatCode="_(&quot;$&quot;* #,##0_);_(&quot;$&quot;* \(#,##0\);_(&quot;$&quot;* &quot;-&quot;??_);_(@_)"/>
    </dxf>
    <dxf>
      <numFmt numFmtId="0" formatCode="General"/>
    </dxf>
    <dxf>
      <numFmt numFmtId="0" formatCode="General"/>
    </dxf>
    <dxf>
      <numFmt numFmtId="19" formatCode="m/d/yyyy"/>
    </dxf>
  </dxfs>
  <tableStyles count="2" defaultTableStyle="TableStyleMedium2" defaultPivotStyle="PivotStyleLight16">
    <tableStyle name="Slicer Style 1" pivot="0" table="0" count="0" xr9:uid="{F2F87F68-4364-4115-839D-B4AB6E36CE84}"/>
    <tableStyle name="Slicer Style 2" pivot="0" table="0" count="0" xr9:uid="{DA933553-6FD7-456C-A320-D8866AF83839}"/>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DATAESET.xlsx]PIVOT TABLE &amp; CHART!PivotTable1</c:name>
    <c:fmtId val="6"/>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Arial Black" panose="020B0A04020102020204" pitchFamily="34" charset="0"/>
                <a:ea typeface="+mn-ea"/>
                <a:cs typeface="+mn-cs"/>
              </a:defRPr>
            </a:pPr>
            <a:r>
              <a:rPr lang="en-US" sz="1100">
                <a:latin typeface="Arial Black" panose="020B0A04020102020204" pitchFamily="34" charset="0"/>
              </a:rPr>
              <a:t>  SALES BY PRODUCT</a:t>
            </a:r>
            <a:endParaRPr lang="en-US" sz="1100"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CHART'!$B$3</c:f>
              <c:strCache>
                <c:ptCount val="1"/>
                <c:pt idx="0">
                  <c:v>Total</c:v>
                </c:pt>
              </c:strCache>
            </c:strRef>
          </c:tx>
          <c:spPr>
            <a:solidFill>
              <a:schemeClr val="accent1"/>
            </a:solidFill>
            <a:ln>
              <a:noFill/>
            </a:ln>
            <a:effectLst/>
          </c:spPr>
          <c:invertIfNegative val="0"/>
          <c:cat>
            <c:strRef>
              <c:f>'PIVOT TABLE &amp; CHART'!$A$4:$A$10</c:f>
              <c:strCache>
                <c:ptCount val="6"/>
                <c:pt idx="0">
                  <c:v>Phone</c:v>
                </c:pt>
                <c:pt idx="1">
                  <c:v>Mouse</c:v>
                </c:pt>
                <c:pt idx="2">
                  <c:v>Monitor</c:v>
                </c:pt>
                <c:pt idx="3">
                  <c:v>Laptop</c:v>
                </c:pt>
                <c:pt idx="4">
                  <c:v>Keyboard</c:v>
                </c:pt>
                <c:pt idx="5">
                  <c:v>Headset</c:v>
                </c:pt>
              </c:strCache>
            </c:strRef>
          </c:cat>
          <c:val>
            <c:numRef>
              <c:f>'PIVOT TABLE &amp; CHART'!$B$4:$B$10</c:f>
              <c:numCache>
                <c:formatCode>General</c:formatCode>
                <c:ptCount val="6"/>
                <c:pt idx="0">
                  <c:v>20825</c:v>
                </c:pt>
                <c:pt idx="1">
                  <c:v>19400</c:v>
                </c:pt>
                <c:pt idx="2">
                  <c:v>15800</c:v>
                </c:pt>
                <c:pt idx="3">
                  <c:v>17875</c:v>
                </c:pt>
                <c:pt idx="4">
                  <c:v>13225</c:v>
                </c:pt>
                <c:pt idx="5">
                  <c:v>6450</c:v>
                </c:pt>
              </c:numCache>
            </c:numRef>
          </c:val>
          <c:extLst>
            <c:ext xmlns:c16="http://schemas.microsoft.com/office/drawing/2014/chart" uri="{C3380CC4-5D6E-409C-BE32-E72D297353CC}">
              <c16:uniqueId val="{00000000-0298-44EC-BF6B-D0E2997233D9}"/>
            </c:ext>
          </c:extLst>
        </c:ser>
        <c:dLbls>
          <c:showLegendKey val="0"/>
          <c:showVal val="0"/>
          <c:showCatName val="0"/>
          <c:showSerName val="0"/>
          <c:showPercent val="0"/>
          <c:showBubbleSize val="0"/>
        </c:dLbls>
        <c:gapWidth val="219"/>
        <c:overlap val="-27"/>
        <c:axId val="2054550959"/>
        <c:axId val="1717269215"/>
      </c:barChart>
      <c:catAx>
        <c:axId val="205455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269215"/>
        <c:crosses val="autoZero"/>
        <c:auto val="1"/>
        <c:lblAlgn val="ctr"/>
        <c:lblOffset val="100"/>
        <c:noMultiLvlLbl val="0"/>
      </c:catAx>
      <c:valAx>
        <c:axId val="1717269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55095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DATAESET.xlsx]PIVOT TABLE &amp; CHART!PivotTable2</c:name>
    <c:fmtId val="8"/>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Arial Black" panose="020B0A04020102020204" pitchFamily="34" charset="0"/>
                <a:ea typeface="+mn-ea"/>
                <a:cs typeface="+mn-cs"/>
              </a:defRPr>
            </a:pPr>
            <a:r>
              <a:rPr lang="en-US" sz="1100">
                <a:latin typeface="Arial Black" panose="020B0A04020102020204" pitchFamily="34" charset="0"/>
              </a:rPr>
              <a:t>SALES</a:t>
            </a:r>
            <a:r>
              <a:rPr lang="en-US" sz="1100" baseline="0">
                <a:latin typeface="Arial Black" panose="020B0A04020102020204" pitchFamily="34" charset="0"/>
              </a:rPr>
              <a:t> BY REGION</a:t>
            </a:r>
            <a:endParaRPr lang="en-US" sz="1100">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CHART'!$E$3</c:f>
              <c:strCache>
                <c:ptCount val="1"/>
                <c:pt idx="0">
                  <c:v>Total</c:v>
                </c:pt>
              </c:strCache>
            </c:strRef>
          </c:tx>
          <c:spPr>
            <a:solidFill>
              <a:schemeClr val="accent1"/>
            </a:solidFill>
            <a:ln>
              <a:noFill/>
            </a:ln>
            <a:effectLst/>
          </c:spPr>
          <c:invertIfNegative val="0"/>
          <c:cat>
            <c:strRef>
              <c:f>'PIVOT TABLE &amp; CHART'!$D$4:$D$8</c:f>
              <c:strCache>
                <c:ptCount val="4"/>
                <c:pt idx="0">
                  <c:v>Port Harcourt</c:v>
                </c:pt>
                <c:pt idx="1">
                  <c:v>Abuja</c:v>
                </c:pt>
                <c:pt idx="2">
                  <c:v>Lagos</c:v>
                </c:pt>
                <c:pt idx="3">
                  <c:v>Ibadan</c:v>
                </c:pt>
              </c:strCache>
            </c:strRef>
          </c:cat>
          <c:val>
            <c:numRef>
              <c:f>'PIVOT TABLE &amp; CHART'!$E$4:$E$8</c:f>
              <c:numCache>
                <c:formatCode>General</c:formatCode>
                <c:ptCount val="4"/>
                <c:pt idx="0">
                  <c:v>15825</c:v>
                </c:pt>
                <c:pt idx="1">
                  <c:v>22975</c:v>
                </c:pt>
                <c:pt idx="2">
                  <c:v>25675</c:v>
                </c:pt>
                <c:pt idx="3">
                  <c:v>29100</c:v>
                </c:pt>
              </c:numCache>
            </c:numRef>
          </c:val>
          <c:extLst>
            <c:ext xmlns:c16="http://schemas.microsoft.com/office/drawing/2014/chart" uri="{C3380CC4-5D6E-409C-BE32-E72D297353CC}">
              <c16:uniqueId val="{00000000-F63E-4A18-B37D-B6C0EB8B9160}"/>
            </c:ext>
          </c:extLst>
        </c:ser>
        <c:dLbls>
          <c:showLegendKey val="0"/>
          <c:showVal val="0"/>
          <c:showCatName val="0"/>
          <c:showSerName val="0"/>
          <c:showPercent val="0"/>
          <c:showBubbleSize val="0"/>
        </c:dLbls>
        <c:gapWidth val="182"/>
        <c:axId val="2063054863"/>
        <c:axId val="2063052783"/>
      </c:barChart>
      <c:catAx>
        <c:axId val="2063054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052783"/>
        <c:crosses val="autoZero"/>
        <c:auto val="1"/>
        <c:lblAlgn val="ctr"/>
        <c:lblOffset val="100"/>
        <c:noMultiLvlLbl val="0"/>
      </c:catAx>
      <c:valAx>
        <c:axId val="2063052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054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DATAESET.xlsx]PIVOT TABLE &amp; CHART!PivotTable3</c:name>
    <c:fmtId val="7"/>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Arial Black" panose="020B0A04020102020204" pitchFamily="34" charset="0"/>
                <a:ea typeface="+mn-ea"/>
                <a:cs typeface="+mn-cs"/>
              </a:defRPr>
            </a:pPr>
            <a:r>
              <a:rPr lang="en-US" sz="1100">
                <a:latin typeface="Arial Black" panose="020B0A04020102020204" pitchFamily="34" charset="0"/>
              </a:rPr>
              <a:t>MONTHLY</a:t>
            </a:r>
            <a:r>
              <a:rPr lang="en-US" sz="1100" baseline="0">
                <a:latin typeface="Arial Black" panose="020B0A04020102020204" pitchFamily="34" charset="0"/>
              </a:rPr>
              <a:t> SALES TREND</a:t>
            </a:r>
            <a:endParaRPr lang="en-US" sz="1100">
              <a:latin typeface="Arial Black" panose="020B0A04020102020204" pitchFamily="34" charset="0"/>
            </a:endParaRPr>
          </a:p>
        </c:rich>
      </c:tx>
      <c:layout>
        <c:manualLayout>
          <c:xMode val="edge"/>
          <c:yMode val="edge"/>
          <c:x val="0.26194444444444448"/>
          <c:y val="3.7037037037037035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&amp; CHART'!$B$14</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'PIVOT TABLE &amp; CHART'!$A$15:$A$21</c:f>
              <c:strCache>
                <c:ptCount val="6"/>
                <c:pt idx="0">
                  <c:v>Apr</c:v>
                </c:pt>
                <c:pt idx="1">
                  <c:v>Mar</c:v>
                </c:pt>
                <c:pt idx="2">
                  <c:v>Jun</c:v>
                </c:pt>
                <c:pt idx="3">
                  <c:v>Jan</c:v>
                </c:pt>
                <c:pt idx="4">
                  <c:v>May</c:v>
                </c:pt>
                <c:pt idx="5">
                  <c:v>Feb</c:v>
                </c:pt>
              </c:strCache>
            </c:strRef>
          </c:cat>
          <c:val>
            <c:numRef>
              <c:f>'PIVOT TABLE &amp; CHART'!$B$15:$B$21</c:f>
              <c:numCache>
                <c:formatCode>General</c:formatCode>
                <c:ptCount val="6"/>
                <c:pt idx="0">
                  <c:v>24325</c:v>
                </c:pt>
                <c:pt idx="1">
                  <c:v>17325</c:v>
                </c:pt>
                <c:pt idx="2">
                  <c:v>14850</c:v>
                </c:pt>
                <c:pt idx="3">
                  <c:v>13075</c:v>
                </c:pt>
                <c:pt idx="4">
                  <c:v>12950</c:v>
                </c:pt>
                <c:pt idx="5">
                  <c:v>11050</c:v>
                </c:pt>
              </c:numCache>
            </c:numRef>
          </c:val>
          <c:smooth val="0"/>
          <c:extLst>
            <c:ext xmlns:c16="http://schemas.microsoft.com/office/drawing/2014/chart" uri="{C3380CC4-5D6E-409C-BE32-E72D297353CC}">
              <c16:uniqueId val="{00000000-37C0-491B-B0AB-679E29282EB2}"/>
            </c:ext>
          </c:extLst>
        </c:ser>
        <c:dLbls>
          <c:showLegendKey val="0"/>
          <c:showVal val="0"/>
          <c:showCatName val="0"/>
          <c:showSerName val="0"/>
          <c:showPercent val="0"/>
          <c:showBubbleSize val="0"/>
        </c:dLbls>
        <c:smooth val="0"/>
        <c:axId val="2063046543"/>
        <c:axId val="2063058607"/>
      </c:lineChart>
      <c:catAx>
        <c:axId val="206304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058607"/>
        <c:crosses val="autoZero"/>
        <c:auto val="1"/>
        <c:lblAlgn val="ctr"/>
        <c:lblOffset val="100"/>
        <c:noMultiLvlLbl val="0"/>
      </c:catAx>
      <c:valAx>
        <c:axId val="206305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046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DATAESET.xlsx]PIVOT TABLE &amp; CHART!PivotTable1</c:name>
    <c:fmtId val="9"/>
  </c:pivotSource>
  <c:chart>
    <c:title>
      <c:tx>
        <c:rich>
          <a:bodyPr rot="0" spcFirstLastPara="1" vertOverflow="ellipsis" vert="horz" wrap="square" anchor="ctr" anchorCtr="1"/>
          <a:lstStyle/>
          <a:p>
            <a:pPr>
              <a:defRPr sz="1100" b="0" i="0" u="none" strike="noStrike" kern="1200" spc="0" baseline="0">
                <a:solidFill>
                  <a:schemeClr val="bg1"/>
                </a:solidFill>
                <a:latin typeface="Arial Black" panose="020B0A04020102020204" pitchFamily="34" charset="0"/>
                <a:ea typeface="+mn-ea"/>
                <a:cs typeface="+mn-cs"/>
              </a:defRPr>
            </a:pPr>
            <a:r>
              <a:rPr lang="en-US" sz="1100">
                <a:solidFill>
                  <a:schemeClr val="bg1"/>
                </a:solidFill>
                <a:latin typeface="Arial Black" panose="020B0A04020102020204" pitchFamily="34" charset="0"/>
              </a:rPr>
              <a:t>  SALES BY PRODUCT</a:t>
            </a:r>
            <a:endParaRPr lang="en-US" sz="1100" b="1">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pct5">
            <a:fgClr>
              <a:schemeClr val="accent1"/>
            </a:fgClr>
            <a:bgClr>
              <a:schemeClr val="bg1"/>
            </a:bgClr>
          </a:patt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45154933092215"/>
          <c:y val="0.26538351825038159"/>
          <c:w val="0.78879258331211044"/>
          <c:h val="0.47487822504393595"/>
        </c:manualLayout>
      </c:layout>
      <c:barChart>
        <c:barDir val="col"/>
        <c:grouping val="clustered"/>
        <c:varyColors val="0"/>
        <c:ser>
          <c:idx val="0"/>
          <c:order val="0"/>
          <c:tx>
            <c:strRef>
              <c:f>'PIVOT TABLE &amp; CHART'!$B$3</c:f>
              <c:strCache>
                <c:ptCount val="1"/>
                <c:pt idx="0">
                  <c:v>Total</c:v>
                </c:pt>
              </c:strCache>
            </c:strRef>
          </c:tx>
          <c:spPr>
            <a:pattFill prst="pct5">
              <a:fgClr>
                <a:schemeClr val="accent1"/>
              </a:fgClr>
              <a:bgClr>
                <a:schemeClr val="bg1"/>
              </a:bgClr>
            </a:pattFill>
            <a:ln>
              <a:solidFill>
                <a:schemeClr val="bg1"/>
              </a:solidFill>
            </a:ln>
            <a:effectLst/>
          </c:spPr>
          <c:invertIfNegative val="0"/>
          <c:cat>
            <c:strRef>
              <c:f>'PIVOT TABLE &amp; CHART'!$A$4:$A$10</c:f>
              <c:strCache>
                <c:ptCount val="6"/>
                <c:pt idx="0">
                  <c:v>Phone</c:v>
                </c:pt>
                <c:pt idx="1">
                  <c:v>Mouse</c:v>
                </c:pt>
                <c:pt idx="2">
                  <c:v>Monitor</c:v>
                </c:pt>
                <c:pt idx="3">
                  <c:v>Laptop</c:v>
                </c:pt>
                <c:pt idx="4">
                  <c:v>Keyboard</c:v>
                </c:pt>
                <c:pt idx="5">
                  <c:v>Headset</c:v>
                </c:pt>
              </c:strCache>
            </c:strRef>
          </c:cat>
          <c:val>
            <c:numRef>
              <c:f>'PIVOT TABLE &amp; CHART'!$B$4:$B$10</c:f>
              <c:numCache>
                <c:formatCode>General</c:formatCode>
                <c:ptCount val="6"/>
                <c:pt idx="0">
                  <c:v>20825</c:v>
                </c:pt>
                <c:pt idx="1">
                  <c:v>19400</c:v>
                </c:pt>
                <c:pt idx="2">
                  <c:v>15800</c:v>
                </c:pt>
                <c:pt idx="3">
                  <c:v>17875</c:v>
                </c:pt>
                <c:pt idx="4">
                  <c:v>13225</c:v>
                </c:pt>
                <c:pt idx="5">
                  <c:v>6450</c:v>
                </c:pt>
              </c:numCache>
            </c:numRef>
          </c:val>
          <c:extLst>
            <c:ext xmlns:c16="http://schemas.microsoft.com/office/drawing/2014/chart" uri="{C3380CC4-5D6E-409C-BE32-E72D297353CC}">
              <c16:uniqueId val="{00000000-41C6-4287-A7AA-00614F144E3D}"/>
            </c:ext>
          </c:extLst>
        </c:ser>
        <c:dLbls>
          <c:showLegendKey val="0"/>
          <c:showVal val="0"/>
          <c:showCatName val="0"/>
          <c:showSerName val="0"/>
          <c:showPercent val="0"/>
          <c:showBubbleSize val="0"/>
        </c:dLbls>
        <c:gapWidth val="219"/>
        <c:overlap val="-27"/>
        <c:axId val="2054550959"/>
        <c:axId val="1717269215"/>
      </c:barChart>
      <c:catAx>
        <c:axId val="205455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17269215"/>
        <c:crosses val="autoZero"/>
        <c:auto val="1"/>
        <c:lblAlgn val="ctr"/>
        <c:lblOffset val="100"/>
        <c:noMultiLvlLbl val="0"/>
      </c:catAx>
      <c:valAx>
        <c:axId val="1717269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5455095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DATAESET.xlsx]PIVOT TABLE &amp; CHART!PivotTable2</c:name>
    <c:fmtId val="11"/>
  </c:pivotSource>
  <c:chart>
    <c:title>
      <c:tx>
        <c:rich>
          <a:bodyPr rot="0" spcFirstLastPara="1" vertOverflow="ellipsis" vert="horz" wrap="square" anchor="ctr" anchorCtr="1"/>
          <a:lstStyle/>
          <a:p>
            <a:pPr>
              <a:defRPr sz="1100" b="0" i="0" u="none" strike="noStrike" kern="1200" spc="0" baseline="0">
                <a:solidFill>
                  <a:schemeClr val="bg1"/>
                </a:solidFill>
                <a:latin typeface="Arial Black" panose="020B0A04020102020204" pitchFamily="34" charset="0"/>
                <a:ea typeface="+mn-ea"/>
                <a:cs typeface="+mn-cs"/>
              </a:defRPr>
            </a:pPr>
            <a:r>
              <a:rPr lang="en-US" sz="1100">
                <a:solidFill>
                  <a:schemeClr val="bg1"/>
                </a:solidFill>
                <a:latin typeface="Arial Black" panose="020B0A04020102020204" pitchFamily="34" charset="0"/>
              </a:rPr>
              <a:t>SALES</a:t>
            </a:r>
            <a:r>
              <a:rPr lang="en-US" sz="1100" baseline="0">
                <a:solidFill>
                  <a:schemeClr val="bg1"/>
                </a:solidFill>
                <a:latin typeface="Arial Black" panose="020B0A04020102020204" pitchFamily="34" charset="0"/>
              </a:rPr>
              <a:t> BY REGION</a:t>
            </a:r>
            <a:endParaRPr lang="en-US" sz="1100">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1"/>
        <c:ser>
          <c:idx val="0"/>
          <c:order val="0"/>
          <c:tx>
            <c:strRef>
              <c:f>'PIVOT TABLE &amp; CHART'!$E$3</c:f>
              <c:strCache>
                <c:ptCount val="1"/>
                <c:pt idx="0">
                  <c:v>Total</c:v>
                </c:pt>
              </c:strCache>
            </c:strRef>
          </c:tx>
          <c:invertIfNegative val="0"/>
          <c:dPt>
            <c:idx val="0"/>
            <c:invertIfNegative val="0"/>
            <c:bubble3D val="0"/>
            <c:spPr>
              <a:solidFill>
                <a:schemeClr val="accent1"/>
              </a:solidFill>
              <a:ln>
                <a:noFill/>
              </a:ln>
              <a:effectLst/>
            </c:spPr>
          </c:dPt>
          <c:dPt>
            <c:idx val="1"/>
            <c:invertIfNegative val="0"/>
            <c:bubble3D val="0"/>
            <c:spPr>
              <a:solidFill>
                <a:schemeClr val="accent2"/>
              </a:solidFill>
              <a:ln>
                <a:noFill/>
              </a:ln>
              <a:effectLst/>
            </c:spPr>
          </c:dPt>
          <c:dPt>
            <c:idx val="2"/>
            <c:invertIfNegative val="0"/>
            <c:bubble3D val="0"/>
            <c:spPr>
              <a:solidFill>
                <a:schemeClr val="accent3"/>
              </a:solidFill>
              <a:ln>
                <a:noFill/>
              </a:ln>
              <a:effectLst/>
            </c:spPr>
          </c:dPt>
          <c:dPt>
            <c:idx val="3"/>
            <c:invertIfNegative val="0"/>
            <c:bubble3D val="0"/>
            <c:spPr>
              <a:solidFill>
                <a:schemeClr val="accent4"/>
              </a:solidFill>
              <a:ln>
                <a:noFill/>
              </a:ln>
              <a:effectLst/>
            </c:spPr>
          </c:dPt>
          <c:cat>
            <c:strRef>
              <c:f>'PIVOT TABLE &amp; CHART'!$D$4:$D$8</c:f>
              <c:strCache>
                <c:ptCount val="4"/>
                <c:pt idx="0">
                  <c:v>Port Harcourt</c:v>
                </c:pt>
                <c:pt idx="1">
                  <c:v>Abuja</c:v>
                </c:pt>
                <c:pt idx="2">
                  <c:v>Lagos</c:v>
                </c:pt>
                <c:pt idx="3">
                  <c:v>Ibadan</c:v>
                </c:pt>
              </c:strCache>
            </c:strRef>
          </c:cat>
          <c:val>
            <c:numRef>
              <c:f>'PIVOT TABLE &amp; CHART'!$E$4:$E$8</c:f>
              <c:numCache>
                <c:formatCode>General</c:formatCode>
                <c:ptCount val="4"/>
                <c:pt idx="0">
                  <c:v>15825</c:v>
                </c:pt>
                <c:pt idx="1">
                  <c:v>22975</c:v>
                </c:pt>
                <c:pt idx="2">
                  <c:v>25675</c:v>
                </c:pt>
                <c:pt idx="3">
                  <c:v>29100</c:v>
                </c:pt>
              </c:numCache>
            </c:numRef>
          </c:val>
          <c:extLst>
            <c:ext xmlns:c16="http://schemas.microsoft.com/office/drawing/2014/chart" uri="{C3380CC4-5D6E-409C-BE32-E72D297353CC}">
              <c16:uniqueId val="{00000000-13C5-4083-B605-4D1C947AC579}"/>
            </c:ext>
          </c:extLst>
        </c:ser>
        <c:dLbls>
          <c:showLegendKey val="0"/>
          <c:showVal val="0"/>
          <c:showCatName val="0"/>
          <c:showSerName val="0"/>
          <c:showPercent val="0"/>
          <c:showBubbleSize val="0"/>
        </c:dLbls>
        <c:gapWidth val="182"/>
        <c:axId val="2063054863"/>
        <c:axId val="2063052783"/>
      </c:barChart>
      <c:catAx>
        <c:axId val="2063054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3052783"/>
        <c:crosses val="autoZero"/>
        <c:auto val="1"/>
        <c:lblAlgn val="ctr"/>
        <c:lblOffset val="100"/>
        <c:noMultiLvlLbl val="0"/>
      </c:catAx>
      <c:valAx>
        <c:axId val="20630527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3054863"/>
        <c:crosses val="autoZero"/>
        <c:crossBetween val="between"/>
      </c:valAx>
      <c:spPr>
        <a:noFill/>
        <a:ln>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DATAESET.xlsx]PIVOT TABLE &amp; CHART!PivotTable3</c:name>
    <c:fmtId val="10"/>
  </c:pivotSource>
  <c:chart>
    <c:title>
      <c:tx>
        <c:rich>
          <a:bodyPr rot="0" spcFirstLastPara="1" vertOverflow="ellipsis" vert="horz" wrap="square" anchor="ctr" anchorCtr="1"/>
          <a:lstStyle/>
          <a:p>
            <a:pPr>
              <a:defRPr sz="1100" b="0" i="0" u="none" strike="noStrike" kern="1200" spc="0" baseline="0">
                <a:solidFill>
                  <a:schemeClr val="bg1"/>
                </a:solidFill>
                <a:latin typeface="Arial Black" panose="020B0A04020102020204" pitchFamily="34" charset="0"/>
                <a:ea typeface="+mn-ea"/>
                <a:cs typeface="+mn-cs"/>
              </a:defRPr>
            </a:pPr>
            <a:r>
              <a:rPr lang="en-US" sz="1100">
                <a:solidFill>
                  <a:schemeClr val="bg1"/>
                </a:solidFill>
                <a:latin typeface="Arial Black" panose="020B0A04020102020204" pitchFamily="34" charset="0"/>
              </a:rPr>
              <a:t>MONTHLY</a:t>
            </a:r>
            <a:r>
              <a:rPr lang="en-US" sz="1100" baseline="0">
                <a:solidFill>
                  <a:schemeClr val="bg1"/>
                </a:solidFill>
                <a:latin typeface="Arial Black" panose="020B0A04020102020204" pitchFamily="34" charset="0"/>
              </a:rPr>
              <a:t> SALES TREND</a:t>
            </a:r>
            <a:endParaRPr lang="en-US" sz="1100">
              <a:solidFill>
                <a:schemeClr val="bg1"/>
              </a:solidFill>
              <a:latin typeface="Arial Black" panose="020B0A04020102020204" pitchFamily="34" charset="0"/>
            </a:endParaRPr>
          </a:p>
        </c:rich>
      </c:tx>
      <c:layout>
        <c:manualLayout>
          <c:xMode val="edge"/>
          <c:yMode val="edge"/>
          <c:x val="0.26194444444444448"/>
          <c:y val="3.7037037037037035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&amp; CHART'!$B$14</c:f>
              <c:strCache>
                <c:ptCount val="1"/>
                <c:pt idx="0">
                  <c:v>Total</c:v>
                </c:pt>
              </c:strCache>
            </c:strRef>
          </c:tx>
          <c:spPr>
            <a:ln w="28575" cap="rnd">
              <a:solidFill>
                <a:srgbClr val="FFFF00"/>
              </a:solidFill>
              <a:round/>
            </a:ln>
            <a:effectLst/>
          </c:spPr>
          <c:marker>
            <c:symbol val="none"/>
          </c:marker>
          <c:trendline>
            <c:spPr>
              <a:ln w="19050" cap="rnd">
                <a:solidFill>
                  <a:schemeClr val="accent2">
                    <a:lumMod val="75000"/>
                  </a:schemeClr>
                </a:solidFill>
                <a:prstDash val="sysDot"/>
              </a:ln>
              <a:effectLst/>
            </c:spPr>
            <c:trendlineType val="linear"/>
            <c:dispRSqr val="0"/>
            <c:dispEq val="0"/>
          </c:trendline>
          <c:cat>
            <c:strRef>
              <c:f>'PIVOT TABLE &amp; CHART'!$A$15:$A$21</c:f>
              <c:strCache>
                <c:ptCount val="6"/>
                <c:pt idx="0">
                  <c:v>Apr</c:v>
                </c:pt>
                <c:pt idx="1">
                  <c:v>Mar</c:v>
                </c:pt>
                <c:pt idx="2">
                  <c:v>Jun</c:v>
                </c:pt>
                <c:pt idx="3">
                  <c:v>Jan</c:v>
                </c:pt>
                <c:pt idx="4">
                  <c:v>May</c:v>
                </c:pt>
                <c:pt idx="5">
                  <c:v>Feb</c:v>
                </c:pt>
              </c:strCache>
            </c:strRef>
          </c:cat>
          <c:val>
            <c:numRef>
              <c:f>'PIVOT TABLE &amp; CHART'!$B$15:$B$21</c:f>
              <c:numCache>
                <c:formatCode>General</c:formatCode>
                <c:ptCount val="6"/>
                <c:pt idx="0">
                  <c:v>24325</c:v>
                </c:pt>
                <c:pt idx="1">
                  <c:v>17325</c:v>
                </c:pt>
                <c:pt idx="2">
                  <c:v>14850</c:v>
                </c:pt>
                <c:pt idx="3">
                  <c:v>13075</c:v>
                </c:pt>
                <c:pt idx="4">
                  <c:v>12950</c:v>
                </c:pt>
                <c:pt idx="5">
                  <c:v>11050</c:v>
                </c:pt>
              </c:numCache>
            </c:numRef>
          </c:val>
          <c:smooth val="0"/>
          <c:extLst>
            <c:ext xmlns:c16="http://schemas.microsoft.com/office/drawing/2014/chart" uri="{C3380CC4-5D6E-409C-BE32-E72D297353CC}">
              <c16:uniqueId val="{00000001-EDDD-45DE-9465-974EC7A29D0E}"/>
            </c:ext>
          </c:extLst>
        </c:ser>
        <c:dLbls>
          <c:showLegendKey val="0"/>
          <c:showVal val="0"/>
          <c:showCatName val="0"/>
          <c:showSerName val="0"/>
          <c:showPercent val="0"/>
          <c:showBubbleSize val="0"/>
        </c:dLbls>
        <c:smooth val="0"/>
        <c:axId val="2063046543"/>
        <c:axId val="2063058607"/>
      </c:lineChart>
      <c:catAx>
        <c:axId val="206304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3058607"/>
        <c:crosses val="autoZero"/>
        <c:auto val="1"/>
        <c:lblAlgn val="ctr"/>
        <c:lblOffset val="100"/>
        <c:noMultiLvlLbl val="0"/>
      </c:catAx>
      <c:valAx>
        <c:axId val="2063058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3046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638175</xdr:colOff>
      <xdr:row>12</xdr:row>
      <xdr:rowOff>95250</xdr:rowOff>
    </xdr:from>
    <xdr:to>
      <xdr:col>8</xdr:col>
      <xdr:colOff>323850</xdr:colOff>
      <xdr:row>23</xdr:row>
      <xdr:rowOff>38100</xdr:rowOff>
    </xdr:to>
    <xdr:graphicFrame macro="">
      <xdr:nvGraphicFramePr>
        <xdr:cNvPr id="30" name="Chart 29">
          <a:extLst>
            <a:ext uri="{FF2B5EF4-FFF2-40B4-BE49-F238E27FC236}">
              <a16:creationId xmlns:a16="http://schemas.microsoft.com/office/drawing/2014/main" id="{5BA638E2-28B6-4BFA-9C75-0F9CC4E03D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571500</xdr:colOff>
      <xdr:row>12</xdr:row>
      <xdr:rowOff>66675</xdr:rowOff>
    </xdr:from>
    <xdr:to>
      <xdr:col>15</xdr:col>
      <xdr:colOff>19050</xdr:colOff>
      <xdr:row>22</xdr:row>
      <xdr:rowOff>109537</xdr:rowOff>
    </xdr:to>
    <xdr:graphicFrame macro="">
      <xdr:nvGraphicFramePr>
        <xdr:cNvPr id="32" name="Chart 31">
          <a:extLst>
            <a:ext uri="{FF2B5EF4-FFF2-40B4-BE49-F238E27FC236}">
              <a16:creationId xmlns:a16="http://schemas.microsoft.com/office/drawing/2014/main" id="{4ADACD23-4DBF-4214-BEFC-6F5257F1F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561975</xdr:colOff>
      <xdr:row>3</xdr:row>
      <xdr:rowOff>19050</xdr:rowOff>
    </xdr:from>
    <xdr:to>
      <xdr:col>17</xdr:col>
      <xdr:colOff>57150</xdr:colOff>
      <xdr:row>10</xdr:row>
      <xdr:rowOff>119062</xdr:rowOff>
    </xdr:to>
    <xdr:graphicFrame macro="">
      <xdr:nvGraphicFramePr>
        <xdr:cNvPr id="33" name="Chart 32">
          <a:extLst>
            <a:ext uri="{FF2B5EF4-FFF2-40B4-BE49-F238E27FC236}">
              <a16:creationId xmlns:a16="http://schemas.microsoft.com/office/drawing/2014/main" id="{CC84B4DD-B9ED-4703-9554-4AA5C5B91E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238125</xdr:colOff>
      <xdr:row>0</xdr:row>
      <xdr:rowOff>180976</xdr:rowOff>
    </xdr:from>
    <xdr:to>
      <xdr:col>8</xdr:col>
      <xdr:colOff>238125</xdr:colOff>
      <xdr:row>9</xdr:row>
      <xdr:rowOff>47626</xdr:rowOff>
    </xdr:to>
    <mc:AlternateContent xmlns:mc="http://schemas.openxmlformats.org/markup-compatibility/2006">
      <mc:Choice xmlns:a14="http://schemas.microsoft.com/office/drawing/2010/main" Requires="a14">
        <xdr:graphicFrame macro="">
          <xdr:nvGraphicFramePr>
            <xdr:cNvPr id="34" name="Region">
              <a:extLst>
                <a:ext uri="{FF2B5EF4-FFF2-40B4-BE49-F238E27FC236}">
                  <a16:creationId xmlns:a16="http://schemas.microsoft.com/office/drawing/2014/main" id="{46B8DBD7-268B-4482-A0CB-A93553B1F9B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06636" y="180976"/>
              <a:ext cx="1830085" cy="16004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476250</xdr:colOff>
      <xdr:row>0</xdr:row>
      <xdr:rowOff>152401</xdr:rowOff>
    </xdr:from>
    <xdr:to>
      <xdr:col>11</xdr:col>
      <xdr:colOff>476250</xdr:colOff>
      <xdr:row>11</xdr:row>
      <xdr:rowOff>57151</xdr:rowOff>
    </xdr:to>
    <mc:AlternateContent xmlns:mc="http://schemas.openxmlformats.org/markup-compatibility/2006">
      <mc:Choice xmlns:a14="http://schemas.microsoft.com/office/drawing/2010/main" Requires="a14">
        <xdr:graphicFrame macro="">
          <xdr:nvGraphicFramePr>
            <xdr:cNvPr id="35" name="Product">
              <a:extLst>
                <a:ext uri="{FF2B5EF4-FFF2-40B4-BE49-F238E27FC236}">
                  <a16:creationId xmlns:a16="http://schemas.microsoft.com/office/drawing/2014/main" id="{1611BE0B-0FB3-4032-9F2B-5C233D4B97E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074846" y="152401"/>
              <a:ext cx="1830084" cy="20237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209550</xdr:colOff>
      <xdr:row>0</xdr:row>
      <xdr:rowOff>85725</xdr:rowOff>
    </xdr:from>
    <xdr:to>
      <xdr:col>12</xdr:col>
      <xdr:colOff>104775</xdr:colOff>
      <xdr:row>24</xdr:row>
      <xdr:rowOff>180975</xdr:rowOff>
    </xdr:to>
    <xdr:sp macro="" textlink="">
      <xdr:nvSpPr>
        <xdr:cNvPr id="2" name="Rectangle: Rounded Corners 1">
          <a:extLst>
            <a:ext uri="{FF2B5EF4-FFF2-40B4-BE49-F238E27FC236}">
              <a16:creationId xmlns:a16="http://schemas.microsoft.com/office/drawing/2014/main" id="{1C2A990B-7FFA-445F-BDD4-2C7B5D53B518}"/>
            </a:ext>
          </a:extLst>
        </xdr:cNvPr>
        <xdr:cNvSpPr/>
      </xdr:nvSpPr>
      <xdr:spPr>
        <a:xfrm>
          <a:off x="209550" y="85725"/>
          <a:ext cx="7210425" cy="4667250"/>
        </a:xfrm>
        <a:prstGeom prst="roundRect">
          <a:avLst>
            <a:gd name="adj" fmla="val 6667"/>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201705</xdr:colOff>
      <xdr:row>3</xdr:row>
      <xdr:rowOff>156882</xdr:rowOff>
    </xdr:from>
    <xdr:to>
      <xdr:col>12</xdr:col>
      <xdr:colOff>33617</xdr:colOff>
      <xdr:row>13</xdr:row>
      <xdr:rowOff>134470</xdr:rowOff>
    </xdr:to>
    <xdr:sp macro="" textlink="">
      <xdr:nvSpPr>
        <xdr:cNvPr id="6" name="Rectangle: Rounded Corners 5">
          <a:extLst>
            <a:ext uri="{FF2B5EF4-FFF2-40B4-BE49-F238E27FC236}">
              <a16:creationId xmlns:a16="http://schemas.microsoft.com/office/drawing/2014/main" id="{225E2E97-F5A0-48A8-BC99-948BA940C871}"/>
            </a:ext>
          </a:extLst>
        </xdr:cNvPr>
        <xdr:cNvSpPr/>
      </xdr:nvSpPr>
      <xdr:spPr>
        <a:xfrm>
          <a:off x="4437529" y="728382"/>
          <a:ext cx="2857500" cy="1882588"/>
        </a:xfrm>
        <a:prstGeom prst="round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362509</xdr:colOff>
      <xdr:row>14</xdr:row>
      <xdr:rowOff>77880</xdr:rowOff>
    </xdr:from>
    <xdr:to>
      <xdr:col>12</xdr:col>
      <xdr:colOff>33616</xdr:colOff>
      <xdr:row>24</xdr:row>
      <xdr:rowOff>135030</xdr:rowOff>
    </xdr:to>
    <xdr:sp macro="" textlink="">
      <xdr:nvSpPr>
        <xdr:cNvPr id="8" name="Rectangle: Rounded Corners 7">
          <a:extLst>
            <a:ext uri="{FF2B5EF4-FFF2-40B4-BE49-F238E27FC236}">
              <a16:creationId xmlns:a16="http://schemas.microsoft.com/office/drawing/2014/main" id="{4DD248F8-C8DC-4FA2-84F5-404747BE0BA2}"/>
            </a:ext>
          </a:extLst>
        </xdr:cNvPr>
        <xdr:cNvSpPr/>
      </xdr:nvSpPr>
      <xdr:spPr>
        <a:xfrm>
          <a:off x="3993215" y="2744880"/>
          <a:ext cx="3301813" cy="1962150"/>
        </a:xfrm>
        <a:prstGeom prst="round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406774</xdr:colOff>
      <xdr:row>14</xdr:row>
      <xdr:rowOff>72838</xdr:rowOff>
    </xdr:from>
    <xdr:to>
      <xdr:col>6</xdr:col>
      <xdr:colOff>321048</xdr:colOff>
      <xdr:row>24</xdr:row>
      <xdr:rowOff>129988</xdr:rowOff>
    </xdr:to>
    <xdr:sp macro="" textlink="">
      <xdr:nvSpPr>
        <xdr:cNvPr id="9" name="Rectangle: Rounded Corners 8">
          <a:extLst>
            <a:ext uri="{FF2B5EF4-FFF2-40B4-BE49-F238E27FC236}">
              <a16:creationId xmlns:a16="http://schemas.microsoft.com/office/drawing/2014/main" id="{F4F561C7-77E6-4B2C-9397-457DC82937FB}"/>
            </a:ext>
          </a:extLst>
        </xdr:cNvPr>
        <xdr:cNvSpPr/>
      </xdr:nvSpPr>
      <xdr:spPr>
        <a:xfrm>
          <a:off x="406774" y="2739838"/>
          <a:ext cx="3544980" cy="1962150"/>
        </a:xfrm>
        <a:prstGeom prst="round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291352</xdr:colOff>
      <xdr:row>3</xdr:row>
      <xdr:rowOff>168088</xdr:rowOff>
    </xdr:from>
    <xdr:to>
      <xdr:col>11</xdr:col>
      <xdr:colOff>535081</xdr:colOff>
      <xdr:row>13</xdr:row>
      <xdr:rowOff>156881</xdr:rowOff>
    </xdr:to>
    <xdr:graphicFrame macro="">
      <xdr:nvGraphicFramePr>
        <xdr:cNvPr id="12" name="Chart 11">
          <a:extLst>
            <a:ext uri="{FF2B5EF4-FFF2-40B4-BE49-F238E27FC236}">
              <a16:creationId xmlns:a16="http://schemas.microsoft.com/office/drawing/2014/main" id="{D57D2502-009C-40E1-A51F-6FF69C678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468407</xdr:colOff>
      <xdr:row>14</xdr:row>
      <xdr:rowOff>100853</xdr:rowOff>
    </xdr:from>
    <xdr:to>
      <xdr:col>6</xdr:col>
      <xdr:colOff>220756</xdr:colOff>
      <xdr:row>24</xdr:row>
      <xdr:rowOff>179295</xdr:rowOff>
    </xdr:to>
    <xdr:graphicFrame macro="">
      <xdr:nvGraphicFramePr>
        <xdr:cNvPr id="13" name="Chart 12">
          <a:extLst>
            <a:ext uri="{FF2B5EF4-FFF2-40B4-BE49-F238E27FC236}">
              <a16:creationId xmlns:a16="http://schemas.microsoft.com/office/drawing/2014/main" id="{A09B21EC-35ED-4F99-89A7-895A2D7F26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366993</xdr:colOff>
      <xdr:row>14</xdr:row>
      <xdr:rowOff>112059</xdr:rowOff>
    </xdr:from>
    <xdr:to>
      <xdr:col>11</xdr:col>
      <xdr:colOff>526677</xdr:colOff>
      <xdr:row>24</xdr:row>
      <xdr:rowOff>133070</xdr:rowOff>
    </xdr:to>
    <xdr:graphicFrame macro="">
      <xdr:nvGraphicFramePr>
        <xdr:cNvPr id="14" name="Chart 13">
          <a:extLst>
            <a:ext uri="{FF2B5EF4-FFF2-40B4-BE49-F238E27FC236}">
              <a16:creationId xmlns:a16="http://schemas.microsoft.com/office/drawing/2014/main" id="{C184CDBC-31D3-46FA-8A9F-D667F897E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324972</xdr:colOff>
      <xdr:row>9</xdr:row>
      <xdr:rowOff>11206</xdr:rowOff>
    </xdr:from>
    <xdr:to>
      <xdr:col>3</xdr:col>
      <xdr:colOff>392206</xdr:colOff>
      <xdr:row>14</xdr:row>
      <xdr:rowOff>11206</xdr:rowOff>
    </xdr:to>
    <mc:AlternateContent xmlns:mc="http://schemas.openxmlformats.org/markup-compatibility/2006">
      <mc:Choice xmlns:a14="http://schemas.microsoft.com/office/drawing/2010/main" Requires="a14">
        <xdr:graphicFrame macro="">
          <xdr:nvGraphicFramePr>
            <xdr:cNvPr id="15" name="Region 1">
              <a:extLst>
                <a:ext uri="{FF2B5EF4-FFF2-40B4-BE49-F238E27FC236}">
                  <a16:creationId xmlns:a16="http://schemas.microsoft.com/office/drawing/2014/main" id="{21CFC26F-60A6-4712-AE6E-240395302CA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24972" y="1725706"/>
              <a:ext cx="1882587"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437029</xdr:colOff>
      <xdr:row>7</xdr:row>
      <xdr:rowOff>134471</xdr:rowOff>
    </xdr:from>
    <xdr:to>
      <xdr:col>7</xdr:col>
      <xdr:colOff>156882</xdr:colOff>
      <xdr:row>14</xdr:row>
      <xdr:rowOff>33618</xdr:rowOff>
    </xdr:to>
    <mc:AlternateContent xmlns:mc="http://schemas.openxmlformats.org/markup-compatibility/2006">
      <mc:Choice xmlns:a14="http://schemas.microsoft.com/office/drawing/2010/main" Requires="a14">
        <xdr:graphicFrame macro="">
          <xdr:nvGraphicFramePr>
            <xdr:cNvPr id="17" name="Product 1">
              <a:extLst>
                <a:ext uri="{FF2B5EF4-FFF2-40B4-BE49-F238E27FC236}">
                  <a16:creationId xmlns:a16="http://schemas.microsoft.com/office/drawing/2014/main" id="{4889E45A-9ADC-463D-864C-6FD3C07F532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2252382" y="1467971"/>
              <a:ext cx="2140324" cy="12326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212912</xdr:colOff>
      <xdr:row>0</xdr:row>
      <xdr:rowOff>78441</xdr:rowOff>
    </xdr:from>
    <xdr:to>
      <xdr:col>12</xdr:col>
      <xdr:colOff>123264</xdr:colOff>
      <xdr:row>2</xdr:row>
      <xdr:rowOff>179294</xdr:rowOff>
    </xdr:to>
    <xdr:sp macro="" textlink="$A$23">
      <xdr:nvSpPr>
        <xdr:cNvPr id="16" name="TextBox 15">
          <a:extLst>
            <a:ext uri="{FF2B5EF4-FFF2-40B4-BE49-F238E27FC236}">
              <a16:creationId xmlns:a16="http://schemas.microsoft.com/office/drawing/2014/main" id="{172F7894-D1BA-4D2F-A289-54DECF19F0EA}"/>
            </a:ext>
          </a:extLst>
        </xdr:cNvPr>
        <xdr:cNvSpPr txBox="1"/>
      </xdr:nvSpPr>
      <xdr:spPr>
        <a:xfrm>
          <a:off x="212912" y="78441"/>
          <a:ext cx="7171764" cy="481853"/>
        </a:xfrm>
        <a:prstGeom prst="roundRect">
          <a:avLst/>
        </a:prstGeom>
        <a:solidFill>
          <a:schemeClr val="tx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D74460C-E7E1-476F-A033-D93F41D876FE}" type="TxLink">
            <a:rPr lang="en-US" sz="2000" b="0" i="0" u="none" strike="noStrike">
              <a:solidFill>
                <a:schemeClr val="bg1"/>
              </a:solidFill>
              <a:latin typeface="Arial Black" panose="020B0A04020102020204" pitchFamily="34" charset="0"/>
              <a:cs typeface="Calibri"/>
            </a:rPr>
            <a:pPr algn="ctr"/>
            <a:t> </a:t>
          </a:fld>
          <a:r>
            <a:rPr lang="en-US" sz="2000" b="0" i="0" u="none" strike="noStrike">
              <a:solidFill>
                <a:schemeClr val="bg1"/>
              </a:solidFill>
              <a:latin typeface="Arial Black" panose="020B0A04020102020204" pitchFamily="34" charset="0"/>
              <a:cs typeface="Calibri"/>
            </a:rPr>
            <a:t>SALES DASHBOARD,2025</a:t>
          </a:r>
          <a:endParaRPr lang="en-US" sz="2000">
            <a:solidFill>
              <a:schemeClr val="bg1"/>
            </a:solidFill>
            <a:latin typeface="Arial Black" panose="020B0A04020102020204" pitchFamily="34" charset="0"/>
          </a:endParaRPr>
        </a:p>
      </xdr:txBody>
    </xdr:sp>
    <xdr:clientData/>
  </xdr:twoCellAnchor>
  <xdr:twoCellAnchor>
    <xdr:from>
      <xdr:col>4</xdr:col>
      <xdr:colOff>0</xdr:colOff>
      <xdr:row>3</xdr:row>
      <xdr:rowOff>0</xdr:rowOff>
    </xdr:from>
    <xdr:to>
      <xdr:col>7</xdr:col>
      <xdr:colOff>100852</xdr:colOff>
      <xdr:row>7</xdr:row>
      <xdr:rowOff>112059</xdr:rowOff>
    </xdr:to>
    <xdr:grpSp>
      <xdr:nvGrpSpPr>
        <xdr:cNvPr id="24" name="Group 23">
          <a:extLst>
            <a:ext uri="{FF2B5EF4-FFF2-40B4-BE49-F238E27FC236}">
              <a16:creationId xmlns:a16="http://schemas.microsoft.com/office/drawing/2014/main" id="{4D638CA8-F329-4B27-AF71-39B733C81408}"/>
            </a:ext>
          </a:extLst>
        </xdr:cNvPr>
        <xdr:cNvGrpSpPr/>
      </xdr:nvGrpSpPr>
      <xdr:grpSpPr>
        <a:xfrm>
          <a:off x="2420471" y="571500"/>
          <a:ext cx="1916205" cy="874059"/>
          <a:chOff x="2595281" y="582707"/>
          <a:chExt cx="1741395" cy="862851"/>
        </a:xfrm>
      </xdr:grpSpPr>
      <xdr:sp macro="" textlink="">
        <xdr:nvSpPr>
          <xdr:cNvPr id="20" name="Rectangle: Rounded Corners 19">
            <a:extLst>
              <a:ext uri="{FF2B5EF4-FFF2-40B4-BE49-F238E27FC236}">
                <a16:creationId xmlns:a16="http://schemas.microsoft.com/office/drawing/2014/main" id="{EE44E75A-869A-4085-884B-BA110CF4A020}"/>
              </a:ext>
            </a:extLst>
          </xdr:cNvPr>
          <xdr:cNvSpPr/>
        </xdr:nvSpPr>
        <xdr:spPr>
          <a:xfrm>
            <a:off x="2595281" y="582707"/>
            <a:ext cx="1741395" cy="862851"/>
          </a:xfrm>
          <a:prstGeom prst="round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 &amp; CHART'!$C$24">
        <xdr:nvSpPr>
          <xdr:cNvPr id="21" name="TextBox 20">
            <a:extLst>
              <a:ext uri="{FF2B5EF4-FFF2-40B4-BE49-F238E27FC236}">
                <a16:creationId xmlns:a16="http://schemas.microsoft.com/office/drawing/2014/main" id="{9B47018B-5C47-4607-8896-B5A7C3B4BBE0}"/>
              </a:ext>
            </a:extLst>
          </xdr:cNvPr>
          <xdr:cNvSpPr txBox="1"/>
        </xdr:nvSpPr>
        <xdr:spPr>
          <a:xfrm>
            <a:off x="2640106" y="986118"/>
            <a:ext cx="1595717" cy="320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7E0B76-EEA3-4984-A16F-7F9F07C29378}" type="TxLink">
              <a:rPr lang="en-US" sz="1800" b="0" i="0" u="none" strike="noStrike">
                <a:solidFill>
                  <a:srgbClr val="FFFF00"/>
                </a:solidFill>
                <a:latin typeface="Arial Black" panose="020B0A04020102020204" pitchFamily="34" charset="0"/>
                <a:cs typeface="Calibri"/>
              </a:rPr>
              <a:pPr algn="ctr"/>
              <a:t> $780 </a:t>
            </a:fld>
            <a:endParaRPr lang="en-US" sz="1800">
              <a:solidFill>
                <a:srgbClr val="FFFF00"/>
              </a:solidFill>
              <a:latin typeface="Arial Black" panose="020B0A04020102020204" pitchFamily="34" charset="0"/>
            </a:endParaRPr>
          </a:p>
        </xdr:txBody>
      </xdr:sp>
      <xdr:sp macro="" textlink="'PIVOT TABLE &amp; CHART'!$C$24">
        <xdr:nvSpPr>
          <xdr:cNvPr id="22" name="TextBox 21">
            <a:extLst>
              <a:ext uri="{FF2B5EF4-FFF2-40B4-BE49-F238E27FC236}">
                <a16:creationId xmlns:a16="http://schemas.microsoft.com/office/drawing/2014/main" id="{DE421A4D-0A0E-4D9C-9B5A-7B31497A8D7F}"/>
              </a:ext>
            </a:extLst>
          </xdr:cNvPr>
          <xdr:cNvSpPr txBox="1"/>
        </xdr:nvSpPr>
        <xdr:spPr>
          <a:xfrm>
            <a:off x="2680448" y="667870"/>
            <a:ext cx="1555376" cy="320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rgbClr val="FFFF00"/>
                </a:solidFill>
                <a:latin typeface="Arial Black" panose="020B0A04020102020204" pitchFamily="34" charset="0"/>
              </a:rPr>
              <a:t>AVERAGE SALES </a:t>
            </a:r>
          </a:p>
        </xdr:txBody>
      </xdr:sp>
    </xdr:grpSp>
    <xdr:clientData/>
  </xdr:twoCellAnchor>
  <xdr:twoCellAnchor>
    <xdr:from>
      <xdr:col>0</xdr:col>
      <xdr:colOff>190499</xdr:colOff>
      <xdr:row>3</xdr:row>
      <xdr:rowOff>0</xdr:rowOff>
    </xdr:from>
    <xdr:to>
      <xdr:col>3</xdr:col>
      <xdr:colOff>369793</xdr:colOff>
      <xdr:row>8</xdr:row>
      <xdr:rowOff>89647</xdr:rowOff>
    </xdr:to>
    <xdr:grpSp>
      <xdr:nvGrpSpPr>
        <xdr:cNvPr id="25" name="Group 24">
          <a:extLst>
            <a:ext uri="{FF2B5EF4-FFF2-40B4-BE49-F238E27FC236}">
              <a16:creationId xmlns:a16="http://schemas.microsoft.com/office/drawing/2014/main" id="{A9F851D6-F9B2-494B-8A67-07A63965CF44}"/>
            </a:ext>
          </a:extLst>
        </xdr:cNvPr>
        <xdr:cNvGrpSpPr/>
      </xdr:nvGrpSpPr>
      <xdr:grpSpPr>
        <a:xfrm>
          <a:off x="190499" y="571500"/>
          <a:ext cx="1994647" cy="1042147"/>
          <a:chOff x="549089" y="705971"/>
          <a:chExt cx="1871382" cy="918882"/>
        </a:xfrm>
      </xdr:grpSpPr>
      <xdr:sp macro="" textlink="">
        <xdr:nvSpPr>
          <xdr:cNvPr id="3" name="Rectangle: Rounded Corners 2">
            <a:extLst>
              <a:ext uri="{FF2B5EF4-FFF2-40B4-BE49-F238E27FC236}">
                <a16:creationId xmlns:a16="http://schemas.microsoft.com/office/drawing/2014/main" id="{E0C276B8-C44B-447C-90E2-266001F323BE}"/>
              </a:ext>
            </a:extLst>
          </xdr:cNvPr>
          <xdr:cNvSpPr/>
        </xdr:nvSpPr>
        <xdr:spPr>
          <a:xfrm>
            <a:off x="683559" y="705971"/>
            <a:ext cx="1736912" cy="918882"/>
          </a:xfrm>
          <a:prstGeom prst="round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 &amp; CHART'!$A$24">
        <xdr:nvSpPr>
          <xdr:cNvPr id="19" name="TextBox 18">
            <a:extLst>
              <a:ext uri="{FF2B5EF4-FFF2-40B4-BE49-F238E27FC236}">
                <a16:creationId xmlns:a16="http://schemas.microsoft.com/office/drawing/2014/main" id="{34A195FC-62B3-4284-90E4-2CECBB550731}"/>
              </a:ext>
            </a:extLst>
          </xdr:cNvPr>
          <xdr:cNvSpPr txBox="1"/>
        </xdr:nvSpPr>
        <xdr:spPr>
          <a:xfrm>
            <a:off x="549089" y="1154207"/>
            <a:ext cx="1804146" cy="35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77DFEB4-C84D-42DA-A062-3C487D39FBBE}" type="TxLink">
              <a:rPr lang="en-US" sz="1800" b="0" i="0" u="none" strike="noStrike">
                <a:solidFill>
                  <a:srgbClr val="FFC000"/>
                </a:solidFill>
                <a:latin typeface="Arial Black" panose="020B0A04020102020204" pitchFamily="34" charset="0"/>
                <a:cs typeface="Calibri"/>
              </a:rPr>
              <a:pPr algn="ctr"/>
              <a:t> $93,575 </a:t>
            </a:fld>
            <a:endParaRPr lang="en-US" sz="1800">
              <a:solidFill>
                <a:srgbClr val="FFC000"/>
              </a:solidFill>
              <a:latin typeface="Arial Black" panose="020B0A04020102020204" pitchFamily="34" charset="0"/>
            </a:endParaRPr>
          </a:p>
        </xdr:txBody>
      </xdr:sp>
      <xdr:sp macro="" textlink="'PIVOT TABLE &amp; CHART'!$C$24">
        <xdr:nvSpPr>
          <xdr:cNvPr id="23" name="TextBox 22">
            <a:extLst>
              <a:ext uri="{FF2B5EF4-FFF2-40B4-BE49-F238E27FC236}">
                <a16:creationId xmlns:a16="http://schemas.microsoft.com/office/drawing/2014/main" id="{CEB42726-5B7B-482B-B6C6-3C5B6887A2E2}"/>
              </a:ext>
            </a:extLst>
          </xdr:cNvPr>
          <xdr:cNvSpPr txBox="1"/>
        </xdr:nvSpPr>
        <xdr:spPr>
          <a:xfrm>
            <a:off x="636495" y="842682"/>
            <a:ext cx="1727946" cy="320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FFC000"/>
                </a:solidFill>
                <a:latin typeface="Arial Black" panose="020B0A04020102020204" pitchFamily="34" charset="0"/>
              </a:rPr>
              <a:t>TOTAL</a:t>
            </a:r>
            <a:r>
              <a:rPr lang="en-US" sz="1400" baseline="0">
                <a:solidFill>
                  <a:srgbClr val="FFC000"/>
                </a:solidFill>
                <a:latin typeface="Arial Black" panose="020B0A04020102020204" pitchFamily="34" charset="0"/>
              </a:rPr>
              <a:t> </a:t>
            </a:r>
            <a:r>
              <a:rPr lang="en-US" sz="1400">
                <a:solidFill>
                  <a:srgbClr val="FFC000"/>
                </a:solidFill>
                <a:latin typeface="Arial Black" panose="020B0A04020102020204" pitchFamily="34" charset="0"/>
              </a:rPr>
              <a:t>SALES </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olara" refreshedDate="46058.708404513891" createdVersion="7" refreshedVersion="7" minRefreshableVersion="3" recordCount="120" xr:uid="{80E8E89A-677B-4A76-9DEF-7F8741E771D3}">
  <cacheSource type="worksheet">
    <worksheetSource name="Sales_Dataset_Upwork_Portfolio"/>
  </cacheSource>
  <cacheFields count="8">
    <cacheField name="Date" numFmtId="14">
      <sharedItems containsSemiMixedTypes="0" containsNonDate="0" containsDate="1" containsString="0" minDate="2025-01-02T00:00:00" maxDate="2025-06-29T00:00:00" count="92">
        <d v="2025-06-13T00:00:00"/>
        <d v="2025-03-04T00:00:00"/>
        <d v="2025-06-23T00:00:00"/>
        <d v="2025-01-09T00:00:00"/>
        <d v="2025-05-10T00:00:00"/>
        <d v="2025-06-16T00:00:00"/>
        <d v="2025-04-25T00:00:00"/>
        <d v="2025-06-28T00:00:00"/>
        <d v="2025-02-25T00:00:00"/>
        <d v="2025-01-25T00:00:00"/>
        <d v="2025-01-12T00:00:00"/>
        <d v="2025-04-07T00:00:00"/>
        <d v="2025-05-28T00:00:00"/>
        <d v="2025-03-16T00:00:00"/>
        <d v="2025-03-13T00:00:00"/>
        <d v="2025-04-01T00:00:00"/>
        <d v="2025-06-05T00:00:00"/>
        <d v="2025-02-11T00:00:00"/>
        <d v="2025-06-25T00:00:00"/>
        <d v="2025-03-22T00:00:00"/>
        <d v="2025-05-26T00:00:00"/>
        <d v="2025-04-12T00:00:00"/>
        <d v="2025-02-05T00:00:00"/>
        <d v="2025-05-30T00:00:00"/>
        <d v="2025-02-26T00:00:00"/>
        <d v="2025-01-13T00:00:00"/>
        <d v="2025-06-24T00:00:00"/>
        <d v="2025-04-08T00:00:00"/>
        <d v="2025-05-22T00:00:00"/>
        <d v="2025-06-14T00:00:00"/>
        <d v="2025-02-10T00:00:00"/>
        <d v="2025-05-09T00:00:00"/>
        <d v="2025-04-06T00:00:00"/>
        <d v="2025-06-03T00:00:00"/>
        <d v="2025-04-03T00:00:00"/>
        <d v="2025-01-18T00:00:00"/>
        <d v="2025-05-21T00:00:00"/>
        <d v="2025-02-24T00:00:00"/>
        <d v="2025-04-13T00:00:00"/>
        <d v="2025-01-31T00:00:00"/>
        <d v="2025-01-06T00:00:00"/>
        <d v="2025-01-02T00:00:00"/>
        <d v="2025-05-27T00:00:00"/>
        <d v="2025-04-15T00:00:00"/>
        <d v="2025-06-22T00:00:00"/>
        <d v="2025-03-28T00:00:00"/>
        <d v="2025-05-18T00:00:00"/>
        <d v="2025-01-24T00:00:00"/>
        <d v="2025-05-04T00:00:00"/>
        <d v="2025-03-15T00:00:00"/>
        <d v="2025-02-09T00:00:00"/>
        <d v="2025-05-29T00:00:00"/>
        <d v="2025-01-15T00:00:00"/>
        <d v="2025-06-02T00:00:00"/>
        <d v="2025-06-08T00:00:00"/>
        <d v="2025-03-08T00:00:00"/>
        <d v="2025-01-19T00:00:00"/>
        <d v="2025-02-03T00:00:00"/>
        <d v="2025-03-14T00:00:00"/>
        <d v="2025-06-06T00:00:00"/>
        <d v="2025-06-19T00:00:00"/>
        <d v="2025-01-28T00:00:00"/>
        <d v="2025-02-22T00:00:00"/>
        <d v="2025-03-06T00:00:00"/>
        <d v="2025-03-12T00:00:00"/>
        <d v="2025-01-29T00:00:00"/>
        <d v="2025-04-05T00:00:00"/>
        <d v="2025-02-02T00:00:00"/>
        <d v="2025-04-02T00:00:00"/>
        <d v="2025-03-02T00:00:00"/>
        <d v="2025-02-15T00:00:00"/>
        <d v="2025-03-10T00:00:00"/>
        <d v="2025-05-01T00:00:00"/>
        <d v="2025-03-20T00:00:00"/>
        <d v="2025-03-31T00:00:00"/>
        <d v="2025-01-08T00:00:00"/>
        <d v="2025-01-10T00:00:00"/>
        <d v="2025-04-09T00:00:00"/>
        <d v="2025-04-22T00:00:00"/>
        <d v="2025-04-04T00:00:00"/>
        <d v="2025-06-09T00:00:00"/>
        <d v="2025-04-18T00:00:00"/>
        <d v="2025-06-07T00:00:00"/>
        <d v="2025-03-19T00:00:00"/>
        <d v="2025-04-30T00:00:00"/>
        <d v="2025-05-11T00:00:00"/>
        <d v="2025-02-07T00:00:00"/>
        <d v="2025-05-23T00:00:00"/>
        <d v="2025-04-29T00:00:00"/>
        <d v="2025-04-24T00:00:00"/>
        <d v="2025-03-05T00:00:00"/>
        <d v="2025-06-10T00:00:00"/>
      </sharedItems>
      <fieldGroup par="7" base="0">
        <rangePr groupBy="days" startDate="2025-01-02T00:00:00" endDate="2025-06-29T00:00:00"/>
        <groupItems count="368">
          <s v="&lt;1/2/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9/2025"/>
        </groupItems>
      </fieldGroup>
    </cacheField>
    <cacheField name="Product" numFmtId="0">
      <sharedItems count="6">
        <s v="Laptop"/>
        <s v="Phone"/>
        <s v="Mouse"/>
        <s v="Keyboard"/>
        <s v="Monitor"/>
        <s v="Headset"/>
      </sharedItems>
    </cacheField>
    <cacheField name="Category" numFmtId="0">
      <sharedItems/>
    </cacheField>
    <cacheField name="Quantity" numFmtId="0">
      <sharedItems containsSemiMixedTypes="0" containsString="0" containsNumber="1" containsInteger="1" minValue="1" maxValue="10"/>
    </cacheField>
    <cacheField name="Unit Price ($)" numFmtId="0">
      <sharedItems containsSemiMixedTypes="0" containsString="0" containsNumber="1" containsInteger="1" minValue="50" maxValue="300"/>
    </cacheField>
    <cacheField name="Total Sales ($)" numFmtId="0">
      <sharedItems containsSemiMixedTypes="0" containsString="0" containsNumber="1" containsInteger="1" minValue="50" maxValue="2700"/>
    </cacheField>
    <cacheField name="Region" numFmtId="0">
      <sharedItems count="4">
        <s v="Ibadan"/>
        <s v="Lagos"/>
        <s v="Port Harcourt"/>
        <s v="Abuja"/>
      </sharedItems>
    </cacheField>
    <cacheField name="Months" numFmtId="0" databaseField="0">
      <fieldGroup base="0">
        <rangePr groupBy="months" startDate="2025-01-02T00:00:00" endDate="2025-06-29T00:00:00"/>
        <groupItems count="14">
          <s v="&lt;1/2/2025"/>
          <s v="Jan"/>
          <s v="Feb"/>
          <s v="Mar"/>
          <s v="Apr"/>
          <s v="May"/>
          <s v="Jun"/>
          <s v="Jul"/>
          <s v="Aug"/>
          <s v="Sep"/>
          <s v="Oct"/>
          <s v="Nov"/>
          <s v="Dec"/>
          <s v="&gt;6/29/2025"/>
        </groupItems>
      </fieldGroup>
    </cacheField>
  </cacheFields>
  <extLst>
    <ext xmlns:x14="http://schemas.microsoft.com/office/spreadsheetml/2009/9/main" uri="{725AE2AE-9491-48be-B2B4-4EB974FC3084}">
      <x14:pivotCacheDefinition pivotCacheId="4660045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s v="Electronics"/>
    <n v="1"/>
    <n v="300"/>
    <n v="300"/>
    <x v="0"/>
  </r>
  <r>
    <x v="1"/>
    <x v="1"/>
    <s v="Electronics"/>
    <n v="3"/>
    <n v="300"/>
    <n v="900"/>
    <x v="1"/>
  </r>
  <r>
    <x v="2"/>
    <x v="2"/>
    <s v="Accessories"/>
    <n v="9"/>
    <n v="50"/>
    <n v="450"/>
    <x v="2"/>
  </r>
  <r>
    <x v="3"/>
    <x v="0"/>
    <s v="Electronics"/>
    <n v="2"/>
    <n v="75"/>
    <n v="150"/>
    <x v="3"/>
  </r>
  <r>
    <x v="4"/>
    <x v="3"/>
    <s v="Accessories"/>
    <n v="1"/>
    <n v="200"/>
    <n v="200"/>
    <x v="3"/>
  </r>
  <r>
    <x v="5"/>
    <x v="2"/>
    <s v="Accessories"/>
    <n v="9"/>
    <n v="150"/>
    <n v="1350"/>
    <x v="3"/>
  </r>
  <r>
    <x v="6"/>
    <x v="3"/>
    <s v="Accessories"/>
    <n v="5"/>
    <n v="50"/>
    <n v="250"/>
    <x v="3"/>
  </r>
  <r>
    <x v="7"/>
    <x v="4"/>
    <s v="Electronics"/>
    <n v="6"/>
    <n v="100"/>
    <n v="600"/>
    <x v="3"/>
  </r>
  <r>
    <x v="8"/>
    <x v="5"/>
    <s v="Accessories"/>
    <n v="2"/>
    <n v="50"/>
    <n v="100"/>
    <x v="2"/>
  </r>
  <r>
    <x v="9"/>
    <x v="5"/>
    <s v="Accessories"/>
    <n v="6"/>
    <n v="200"/>
    <n v="1200"/>
    <x v="0"/>
  </r>
  <r>
    <x v="10"/>
    <x v="2"/>
    <s v="Accessories"/>
    <n v="8"/>
    <n v="200"/>
    <n v="1600"/>
    <x v="1"/>
  </r>
  <r>
    <x v="11"/>
    <x v="0"/>
    <s v="Electronics"/>
    <n v="9"/>
    <n v="100"/>
    <n v="900"/>
    <x v="0"/>
  </r>
  <r>
    <x v="12"/>
    <x v="1"/>
    <s v="Electronics"/>
    <n v="2"/>
    <n v="50"/>
    <n v="100"/>
    <x v="3"/>
  </r>
  <r>
    <x v="13"/>
    <x v="0"/>
    <s v="Electronics"/>
    <n v="4"/>
    <n v="50"/>
    <n v="200"/>
    <x v="2"/>
  </r>
  <r>
    <x v="14"/>
    <x v="4"/>
    <s v="Electronics"/>
    <n v="6"/>
    <n v="75"/>
    <n v="450"/>
    <x v="0"/>
  </r>
  <r>
    <x v="15"/>
    <x v="1"/>
    <s v="Electronics"/>
    <n v="5"/>
    <n v="300"/>
    <n v="1500"/>
    <x v="1"/>
  </r>
  <r>
    <x v="16"/>
    <x v="2"/>
    <s v="Accessories"/>
    <n v="3"/>
    <n v="200"/>
    <n v="600"/>
    <x v="3"/>
  </r>
  <r>
    <x v="17"/>
    <x v="4"/>
    <s v="Electronics"/>
    <n v="7"/>
    <n v="100"/>
    <n v="700"/>
    <x v="3"/>
  </r>
  <r>
    <x v="18"/>
    <x v="5"/>
    <s v="Accessories"/>
    <n v="1"/>
    <n v="75"/>
    <n v="75"/>
    <x v="1"/>
  </r>
  <r>
    <x v="19"/>
    <x v="4"/>
    <s v="Electronics"/>
    <n v="5"/>
    <n v="50"/>
    <n v="250"/>
    <x v="3"/>
  </r>
  <r>
    <x v="20"/>
    <x v="2"/>
    <s v="Accessories"/>
    <n v="6"/>
    <n v="75"/>
    <n v="450"/>
    <x v="2"/>
  </r>
  <r>
    <x v="21"/>
    <x v="2"/>
    <s v="Accessories"/>
    <n v="8"/>
    <n v="75"/>
    <n v="600"/>
    <x v="0"/>
  </r>
  <r>
    <x v="22"/>
    <x v="1"/>
    <s v="Electronics"/>
    <n v="9"/>
    <n v="200"/>
    <n v="1800"/>
    <x v="0"/>
  </r>
  <r>
    <x v="23"/>
    <x v="4"/>
    <s v="Electronics"/>
    <n v="10"/>
    <n v="150"/>
    <n v="1500"/>
    <x v="0"/>
  </r>
  <r>
    <x v="24"/>
    <x v="1"/>
    <s v="Electronics"/>
    <n v="9"/>
    <n v="150"/>
    <n v="1350"/>
    <x v="1"/>
  </r>
  <r>
    <x v="25"/>
    <x v="0"/>
    <s v="Electronics"/>
    <n v="3"/>
    <n v="300"/>
    <n v="900"/>
    <x v="3"/>
  </r>
  <r>
    <x v="26"/>
    <x v="4"/>
    <s v="Electronics"/>
    <n v="10"/>
    <n v="50"/>
    <n v="500"/>
    <x v="2"/>
  </r>
  <r>
    <x v="27"/>
    <x v="3"/>
    <s v="Accessories"/>
    <n v="8"/>
    <n v="200"/>
    <n v="1600"/>
    <x v="0"/>
  </r>
  <r>
    <x v="28"/>
    <x v="0"/>
    <s v="Electronics"/>
    <n v="2"/>
    <n v="300"/>
    <n v="600"/>
    <x v="0"/>
  </r>
  <r>
    <x v="29"/>
    <x v="5"/>
    <s v="Accessories"/>
    <n v="2"/>
    <n v="100"/>
    <n v="200"/>
    <x v="2"/>
  </r>
  <r>
    <x v="30"/>
    <x v="4"/>
    <s v="Electronics"/>
    <n v="1"/>
    <n v="300"/>
    <n v="300"/>
    <x v="0"/>
  </r>
  <r>
    <x v="31"/>
    <x v="1"/>
    <s v="Electronics"/>
    <n v="9"/>
    <n v="50"/>
    <n v="450"/>
    <x v="0"/>
  </r>
  <r>
    <x v="0"/>
    <x v="3"/>
    <s v="Accessories"/>
    <n v="10"/>
    <n v="75"/>
    <n v="750"/>
    <x v="3"/>
  </r>
  <r>
    <x v="32"/>
    <x v="1"/>
    <s v="Electronics"/>
    <n v="9"/>
    <n v="200"/>
    <n v="1800"/>
    <x v="1"/>
  </r>
  <r>
    <x v="33"/>
    <x v="5"/>
    <s v="Accessories"/>
    <n v="8"/>
    <n v="50"/>
    <n v="400"/>
    <x v="1"/>
  </r>
  <r>
    <x v="34"/>
    <x v="5"/>
    <s v="Accessories"/>
    <n v="4"/>
    <n v="50"/>
    <n v="200"/>
    <x v="3"/>
  </r>
  <r>
    <x v="20"/>
    <x v="0"/>
    <s v="Electronics"/>
    <n v="2"/>
    <n v="300"/>
    <n v="600"/>
    <x v="2"/>
  </r>
  <r>
    <x v="35"/>
    <x v="3"/>
    <s v="Accessories"/>
    <n v="3"/>
    <n v="75"/>
    <n v="225"/>
    <x v="2"/>
  </r>
  <r>
    <x v="36"/>
    <x v="1"/>
    <s v="Electronics"/>
    <n v="5"/>
    <n v="200"/>
    <n v="1000"/>
    <x v="2"/>
  </r>
  <r>
    <x v="37"/>
    <x v="3"/>
    <s v="Accessories"/>
    <n v="4"/>
    <n v="300"/>
    <n v="1200"/>
    <x v="0"/>
  </r>
  <r>
    <x v="38"/>
    <x v="2"/>
    <s v="Accessories"/>
    <n v="6"/>
    <n v="150"/>
    <n v="900"/>
    <x v="2"/>
  </r>
  <r>
    <x v="39"/>
    <x v="1"/>
    <s v="Electronics"/>
    <n v="4"/>
    <n v="50"/>
    <n v="200"/>
    <x v="0"/>
  </r>
  <r>
    <x v="40"/>
    <x v="3"/>
    <s v="Accessories"/>
    <n v="9"/>
    <n v="75"/>
    <n v="675"/>
    <x v="3"/>
  </r>
  <r>
    <x v="41"/>
    <x v="0"/>
    <s v="Electronics"/>
    <n v="1"/>
    <n v="75"/>
    <n v="75"/>
    <x v="1"/>
  </r>
  <r>
    <x v="3"/>
    <x v="5"/>
    <s v="Accessories"/>
    <n v="2"/>
    <n v="200"/>
    <n v="400"/>
    <x v="3"/>
  </r>
  <r>
    <x v="14"/>
    <x v="2"/>
    <s v="Accessories"/>
    <n v="8"/>
    <n v="75"/>
    <n v="600"/>
    <x v="3"/>
  </r>
  <r>
    <x v="42"/>
    <x v="3"/>
    <s v="Accessories"/>
    <n v="8"/>
    <n v="75"/>
    <n v="600"/>
    <x v="2"/>
  </r>
  <r>
    <x v="43"/>
    <x v="1"/>
    <s v="Electronics"/>
    <n v="2"/>
    <n v="50"/>
    <n v="100"/>
    <x v="2"/>
  </r>
  <r>
    <x v="15"/>
    <x v="4"/>
    <s v="Electronics"/>
    <n v="7"/>
    <n v="150"/>
    <n v="1050"/>
    <x v="1"/>
  </r>
  <r>
    <x v="44"/>
    <x v="2"/>
    <s v="Accessories"/>
    <n v="2"/>
    <n v="50"/>
    <n v="100"/>
    <x v="2"/>
  </r>
  <r>
    <x v="45"/>
    <x v="0"/>
    <s v="Electronics"/>
    <n v="4"/>
    <n v="75"/>
    <n v="300"/>
    <x v="3"/>
  </r>
  <r>
    <x v="46"/>
    <x v="4"/>
    <s v="Electronics"/>
    <n v="3"/>
    <n v="150"/>
    <n v="450"/>
    <x v="3"/>
  </r>
  <r>
    <x v="14"/>
    <x v="4"/>
    <s v="Electronics"/>
    <n v="4"/>
    <n v="50"/>
    <n v="200"/>
    <x v="2"/>
  </r>
  <r>
    <x v="36"/>
    <x v="0"/>
    <s v="Electronics"/>
    <n v="1"/>
    <n v="300"/>
    <n v="300"/>
    <x v="1"/>
  </r>
  <r>
    <x v="47"/>
    <x v="1"/>
    <s v="Electronics"/>
    <n v="3"/>
    <n v="150"/>
    <n v="450"/>
    <x v="2"/>
  </r>
  <r>
    <x v="48"/>
    <x v="1"/>
    <s v="Electronics"/>
    <n v="7"/>
    <n v="50"/>
    <n v="350"/>
    <x v="3"/>
  </r>
  <r>
    <x v="27"/>
    <x v="0"/>
    <s v="Electronics"/>
    <n v="7"/>
    <n v="100"/>
    <n v="700"/>
    <x v="2"/>
  </r>
  <r>
    <x v="49"/>
    <x v="4"/>
    <s v="Electronics"/>
    <n v="9"/>
    <n v="300"/>
    <n v="2700"/>
    <x v="2"/>
  </r>
  <r>
    <x v="50"/>
    <x v="1"/>
    <s v="Electronics"/>
    <n v="5"/>
    <n v="75"/>
    <n v="375"/>
    <x v="1"/>
  </r>
  <r>
    <x v="51"/>
    <x v="2"/>
    <s v="Accessories"/>
    <n v="9"/>
    <n v="50"/>
    <n v="450"/>
    <x v="0"/>
  </r>
  <r>
    <x v="52"/>
    <x v="0"/>
    <s v="Electronics"/>
    <n v="10"/>
    <n v="150"/>
    <n v="1500"/>
    <x v="3"/>
  </r>
  <r>
    <x v="52"/>
    <x v="3"/>
    <s v="Accessories"/>
    <n v="2"/>
    <n v="75"/>
    <n v="150"/>
    <x v="1"/>
  </r>
  <r>
    <x v="53"/>
    <x v="0"/>
    <s v="Electronics"/>
    <n v="4"/>
    <n v="150"/>
    <n v="600"/>
    <x v="1"/>
  </r>
  <r>
    <x v="20"/>
    <x v="1"/>
    <s v="Electronics"/>
    <n v="10"/>
    <n v="200"/>
    <n v="2000"/>
    <x v="1"/>
  </r>
  <r>
    <x v="54"/>
    <x v="0"/>
    <s v="Electronics"/>
    <n v="7"/>
    <n v="300"/>
    <n v="2100"/>
    <x v="0"/>
  </r>
  <r>
    <x v="55"/>
    <x v="1"/>
    <s v="Electronics"/>
    <n v="6"/>
    <n v="75"/>
    <n v="450"/>
    <x v="0"/>
  </r>
  <r>
    <x v="21"/>
    <x v="1"/>
    <s v="Electronics"/>
    <n v="5"/>
    <n v="150"/>
    <n v="750"/>
    <x v="0"/>
  </r>
  <r>
    <x v="56"/>
    <x v="0"/>
    <s v="Electronics"/>
    <n v="8"/>
    <n v="200"/>
    <n v="1600"/>
    <x v="1"/>
  </r>
  <r>
    <x v="56"/>
    <x v="3"/>
    <s v="Accessories"/>
    <n v="4"/>
    <n v="200"/>
    <n v="800"/>
    <x v="0"/>
  </r>
  <r>
    <x v="57"/>
    <x v="5"/>
    <s v="Accessories"/>
    <n v="2"/>
    <n v="75"/>
    <n v="150"/>
    <x v="0"/>
  </r>
  <r>
    <x v="58"/>
    <x v="1"/>
    <s v="Electronics"/>
    <n v="8"/>
    <n v="200"/>
    <n v="1600"/>
    <x v="0"/>
  </r>
  <r>
    <x v="59"/>
    <x v="2"/>
    <s v="Accessories"/>
    <n v="9"/>
    <n v="50"/>
    <n v="450"/>
    <x v="0"/>
  </r>
  <r>
    <x v="60"/>
    <x v="0"/>
    <s v="Electronics"/>
    <n v="3"/>
    <n v="100"/>
    <n v="300"/>
    <x v="1"/>
  </r>
  <r>
    <x v="61"/>
    <x v="2"/>
    <s v="Accessories"/>
    <n v="9"/>
    <n v="75"/>
    <n v="675"/>
    <x v="0"/>
  </r>
  <r>
    <x v="58"/>
    <x v="3"/>
    <s v="Accessories"/>
    <n v="4"/>
    <n v="300"/>
    <n v="1200"/>
    <x v="0"/>
  </r>
  <r>
    <x v="62"/>
    <x v="2"/>
    <s v="Accessories"/>
    <n v="5"/>
    <n v="200"/>
    <n v="1000"/>
    <x v="2"/>
  </r>
  <r>
    <x v="63"/>
    <x v="0"/>
    <s v="Electronics"/>
    <n v="2"/>
    <n v="300"/>
    <n v="600"/>
    <x v="2"/>
  </r>
  <r>
    <x v="64"/>
    <x v="0"/>
    <s v="Electronics"/>
    <n v="1"/>
    <n v="100"/>
    <n v="100"/>
    <x v="3"/>
  </r>
  <r>
    <x v="0"/>
    <x v="5"/>
    <s v="Accessories"/>
    <n v="3"/>
    <n v="300"/>
    <n v="900"/>
    <x v="2"/>
  </r>
  <r>
    <x v="28"/>
    <x v="2"/>
    <s v="Accessories"/>
    <n v="7"/>
    <n v="200"/>
    <n v="1400"/>
    <x v="1"/>
  </r>
  <r>
    <x v="65"/>
    <x v="0"/>
    <s v="Electronics"/>
    <n v="3"/>
    <n v="200"/>
    <n v="600"/>
    <x v="1"/>
  </r>
  <r>
    <x v="66"/>
    <x v="3"/>
    <s v="Accessories"/>
    <n v="9"/>
    <n v="75"/>
    <n v="675"/>
    <x v="2"/>
  </r>
  <r>
    <x v="67"/>
    <x v="0"/>
    <s v="Electronics"/>
    <n v="5"/>
    <n v="100"/>
    <n v="500"/>
    <x v="1"/>
  </r>
  <r>
    <x v="68"/>
    <x v="1"/>
    <s v="Electronics"/>
    <n v="4"/>
    <n v="300"/>
    <n v="1200"/>
    <x v="1"/>
  </r>
  <r>
    <x v="15"/>
    <x v="3"/>
    <s v="Accessories"/>
    <n v="7"/>
    <n v="200"/>
    <n v="1400"/>
    <x v="3"/>
  </r>
  <r>
    <x v="69"/>
    <x v="1"/>
    <s v="Electronics"/>
    <n v="3"/>
    <n v="150"/>
    <n v="450"/>
    <x v="1"/>
  </r>
  <r>
    <x v="70"/>
    <x v="2"/>
    <s v="Accessories"/>
    <n v="6"/>
    <n v="150"/>
    <n v="900"/>
    <x v="3"/>
  </r>
  <r>
    <x v="71"/>
    <x v="1"/>
    <s v="Electronics"/>
    <n v="2"/>
    <n v="150"/>
    <n v="300"/>
    <x v="1"/>
  </r>
  <r>
    <x v="72"/>
    <x v="1"/>
    <s v="Electronics"/>
    <n v="4"/>
    <n v="150"/>
    <n v="600"/>
    <x v="0"/>
  </r>
  <r>
    <x v="73"/>
    <x v="1"/>
    <s v="Electronics"/>
    <n v="4"/>
    <n v="50"/>
    <n v="200"/>
    <x v="3"/>
  </r>
  <r>
    <x v="38"/>
    <x v="5"/>
    <s v="Accessories"/>
    <n v="5"/>
    <n v="50"/>
    <n v="250"/>
    <x v="0"/>
  </r>
  <r>
    <x v="74"/>
    <x v="2"/>
    <s v="Accessories"/>
    <n v="9"/>
    <n v="150"/>
    <n v="1350"/>
    <x v="0"/>
  </r>
  <r>
    <x v="75"/>
    <x v="0"/>
    <s v="Electronics"/>
    <n v="5"/>
    <n v="75"/>
    <n v="375"/>
    <x v="0"/>
  </r>
  <r>
    <x v="76"/>
    <x v="0"/>
    <s v="Electronics"/>
    <n v="10"/>
    <n v="150"/>
    <n v="1500"/>
    <x v="0"/>
  </r>
  <r>
    <x v="19"/>
    <x v="4"/>
    <s v="Electronics"/>
    <n v="10"/>
    <n v="200"/>
    <n v="2000"/>
    <x v="1"/>
  </r>
  <r>
    <x v="77"/>
    <x v="3"/>
    <s v="Accessories"/>
    <n v="4"/>
    <n v="100"/>
    <n v="400"/>
    <x v="1"/>
  </r>
  <r>
    <x v="78"/>
    <x v="0"/>
    <s v="Electronics"/>
    <n v="9"/>
    <n v="200"/>
    <n v="1800"/>
    <x v="3"/>
  </r>
  <r>
    <x v="79"/>
    <x v="4"/>
    <s v="Electronics"/>
    <n v="2"/>
    <n v="300"/>
    <n v="600"/>
    <x v="0"/>
  </r>
  <r>
    <x v="80"/>
    <x v="5"/>
    <s v="Accessories"/>
    <n v="2"/>
    <n v="300"/>
    <n v="600"/>
    <x v="0"/>
  </r>
  <r>
    <x v="4"/>
    <x v="5"/>
    <s v="Accessories"/>
    <n v="7"/>
    <n v="100"/>
    <n v="700"/>
    <x v="2"/>
  </r>
  <r>
    <x v="7"/>
    <x v="5"/>
    <s v="Accessories"/>
    <n v="9"/>
    <n v="75"/>
    <n v="675"/>
    <x v="3"/>
  </r>
  <r>
    <x v="81"/>
    <x v="2"/>
    <s v="Accessories"/>
    <n v="7"/>
    <n v="300"/>
    <n v="2100"/>
    <x v="3"/>
  </r>
  <r>
    <x v="82"/>
    <x v="3"/>
    <s v="Accessories"/>
    <n v="5"/>
    <n v="150"/>
    <n v="750"/>
    <x v="1"/>
  </r>
  <r>
    <x v="83"/>
    <x v="5"/>
    <s v="Accessories"/>
    <n v="4"/>
    <n v="150"/>
    <n v="600"/>
    <x v="0"/>
  </r>
  <r>
    <x v="84"/>
    <x v="4"/>
    <s v="Electronics"/>
    <n v="8"/>
    <n v="300"/>
    <n v="2400"/>
    <x v="3"/>
  </r>
  <r>
    <x v="85"/>
    <x v="4"/>
    <s v="Electronics"/>
    <n v="3"/>
    <n v="300"/>
    <n v="900"/>
    <x v="1"/>
  </r>
  <r>
    <x v="58"/>
    <x v="3"/>
    <s v="Accessories"/>
    <n v="10"/>
    <n v="100"/>
    <n v="1000"/>
    <x v="1"/>
  </r>
  <r>
    <x v="69"/>
    <x v="2"/>
    <s v="Accessories"/>
    <n v="5"/>
    <n v="75"/>
    <n v="375"/>
    <x v="3"/>
  </r>
  <r>
    <x v="86"/>
    <x v="0"/>
    <s v="Electronics"/>
    <n v="1"/>
    <n v="75"/>
    <n v="75"/>
    <x v="2"/>
  </r>
  <r>
    <x v="59"/>
    <x v="0"/>
    <s v="Electronics"/>
    <n v="8"/>
    <n v="150"/>
    <n v="1200"/>
    <x v="3"/>
  </r>
  <r>
    <x v="7"/>
    <x v="4"/>
    <s v="Electronics"/>
    <n v="8"/>
    <n v="150"/>
    <n v="1200"/>
    <x v="3"/>
  </r>
  <r>
    <x v="86"/>
    <x v="2"/>
    <s v="Accessories"/>
    <n v="1"/>
    <n v="50"/>
    <n v="50"/>
    <x v="2"/>
  </r>
  <r>
    <x v="24"/>
    <x v="1"/>
    <s v="Electronics"/>
    <n v="9"/>
    <n v="150"/>
    <n v="1350"/>
    <x v="1"/>
  </r>
  <r>
    <x v="87"/>
    <x v="1"/>
    <s v="Electronics"/>
    <n v="2"/>
    <n v="150"/>
    <n v="300"/>
    <x v="3"/>
  </r>
  <r>
    <x v="88"/>
    <x v="2"/>
    <s v="Accessories"/>
    <n v="9"/>
    <n v="200"/>
    <n v="1800"/>
    <x v="0"/>
  </r>
  <r>
    <x v="89"/>
    <x v="3"/>
    <s v="Accessories"/>
    <n v="9"/>
    <n v="150"/>
    <n v="1350"/>
    <x v="2"/>
  </r>
  <r>
    <x v="30"/>
    <x v="2"/>
    <s v="Accessories"/>
    <n v="8"/>
    <n v="150"/>
    <n v="1200"/>
    <x v="0"/>
  </r>
  <r>
    <x v="90"/>
    <x v="2"/>
    <s v="Accessories"/>
    <n v="5"/>
    <n v="200"/>
    <n v="1000"/>
    <x v="2"/>
  </r>
  <r>
    <x v="91"/>
    <x v="1"/>
    <s v="Electronics"/>
    <n v="5"/>
    <n v="150"/>
    <n v="750"/>
    <x v="1"/>
  </r>
  <r>
    <x v="49"/>
    <x v="1"/>
    <s v="Electronics"/>
    <n v="5"/>
    <n v="100"/>
    <n v="5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574A98-5686-4B9E-8D40-C879CECE98BA}"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D17:D18" firstHeaderRow="1" firstDataRow="1" firstDataCol="0"/>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dataField="1" showAll="0"/>
    <pivotField showAll="0"/>
    <pivotField showAll="0" sortType="descending">
      <items count="15">
        <item sd="0" x="13"/>
        <item sd="0" x="0"/>
        <item sd="0" x="12"/>
        <item sd="0" x="11"/>
        <item sd="0" x="10"/>
        <item sd="0" x="9"/>
        <item sd="0" x="8"/>
        <item sd="0" x="7"/>
        <item sd="0" x="6"/>
        <item sd="0" x="5"/>
        <item sd="0" x="4"/>
        <item sd="0" x="3"/>
        <item sd="0" x="2"/>
        <item sd="0" x="1"/>
        <item t="default"/>
      </items>
      <autoSortScope>
        <pivotArea dataOnly="0" outline="0" fieldPosition="0">
          <references count="1">
            <reference field="4294967294" count="1" selected="0">
              <x v="0"/>
            </reference>
          </references>
        </pivotArea>
      </autoSortScope>
    </pivotField>
  </pivotFields>
  <rowItems count="1">
    <i/>
  </rowItems>
  <colItems count="1">
    <i/>
  </colItems>
  <dataFields count="1">
    <dataField name="Max of Total Sales ($)" fld="5" subtotal="max" baseField="0" baseItem="0" numFmtId="164"/>
  </dataFields>
  <formats count="1">
    <format dxfId="0">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863126-2259-477A-BEA3-EF542307B67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C23:C24" firstHeaderRow="1" firstDataRow="1" firstDataCol="0"/>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dataField="1" showAll="0"/>
    <pivotField showAll="0"/>
    <pivotField showAll="0">
      <items count="15">
        <item sd="0" x="13"/>
        <item sd="0" x="0"/>
        <item sd="0" x="12"/>
        <item sd="0" x="11"/>
        <item sd="0" x="10"/>
        <item sd="0" x="9"/>
        <item sd="0" x="8"/>
        <item sd="0" x="7"/>
        <item sd="0" x="6"/>
        <item sd="0" x="5"/>
        <item sd="0" x="4"/>
        <item sd="0" x="3"/>
        <item sd="0" x="2"/>
        <item sd="0" x="1"/>
        <item t="default"/>
      </items>
    </pivotField>
  </pivotFields>
  <rowItems count="1">
    <i/>
  </rowItems>
  <colItems count="1">
    <i/>
  </colItems>
  <dataFields count="1">
    <dataField name="Average of Total Sales ($)" fld="5" subtotal="average"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EC42DA-7CDC-47EC-989D-187278205661}"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23:A24" firstHeaderRow="1" firstDataRow="1" firstDataCol="0"/>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dataField="1" showAll="0"/>
    <pivotField showAll="0"/>
    <pivotField showAll="0" sortType="descending">
      <items count="15">
        <item sd="0" x="13"/>
        <item sd="0" x="0"/>
        <item sd="0" x="12"/>
        <item sd="0" x="11"/>
        <item sd="0" x="10"/>
        <item sd="0" x="9"/>
        <item sd="0" x="8"/>
        <item sd="0" x="7"/>
        <item sd="0" x="6"/>
        <item sd="0" x="5"/>
        <item sd="0" x="4"/>
        <item sd="0" x="3"/>
        <item sd="0" x="2"/>
        <item sd="0" x="1"/>
        <item t="default"/>
      </items>
      <autoSortScope>
        <pivotArea dataOnly="0" outline="0" fieldPosition="0">
          <references count="1">
            <reference field="4294967294" count="1" selected="0">
              <x v="0"/>
            </reference>
          </references>
        </pivotArea>
      </autoSortScope>
    </pivotField>
  </pivotFields>
  <rowItems count="1">
    <i/>
  </rowItems>
  <colItems count="1">
    <i/>
  </colItems>
  <dataFields count="1">
    <dataField name="Sum of Total Sales ($)" fld="5" baseField="0" baseItem="0" numFmtId="164"/>
  </dataFields>
  <formats count="1">
    <format dxfId="2">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3BB1D0-0C1C-496A-91B8-7FC0D539A393}"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14:B21" firstHeaderRow="1" firstDataRow="1" firstDataCol="1"/>
  <pivotFields count="8">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dataField="1" showAll="0"/>
    <pivotField showAll="0"/>
    <pivotField axis="axisRow" showAll="0" sortType="descending">
      <items count="15">
        <item sd="0" x="13"/>
        <item sd="0" x="0"/>
        <item sd="0" x="12"/>
        <item sd="0" x="11"/>
        <item sd="0" x="10"/>
        <item sd="0" x="9"/>
        <item sd="0" x="8"/>
        <item sd="0" x="7"/>
        <item sd="0" x="6"/>
        <item sd="0" x="5"/>
        <item sd="0" x="4"/>
        <item sd="0" x="3"/>
        <item sd="0" x="2"/>
        <item sd="0" x="1"/>
        <item t="default"/>
      </items>
      <autoSortScope>
        <pivotArea dataOnly="0" outline="0" fieldPosition="0">
          <references count="1">
            <reference field="4294967294" count="1" selected="0">
              <x v="0"/>
            </reference>
          </references>
        </pivotArea>
      </autoSortScope>
    </pivotField>
  </pivotFields>
  <rowFields count="2">
    <field x="7"/>
    <field x="0"/>
  </rowFields>
  <rowItems count="7">
    <i>
      <x v="10"/>
    </i>
    <i>
      <x v="11"/>
    </i>
    <i>
      <x v="8"/>
    </i>
    <i>
      <x v="13"/>
    </i>
    <i>
      <x v="9"/>
    </i>
    <i>
      <x v="12"/>
    </i>
    <i t="grand">
      <x/>
    </i>
  </rowItems>
  <colItems count="1">
    <i/>
  </colItems>
  <dataFields count="1">
    <dataField name="Sum of Total Sales ($)" fld="5"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AE5091-9283-4EBC-8C07-F438269334EF}"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D3:E8"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dataField="1" showAll="0"/>
    <pivotField axis="axisRow" showAll="0" sortType="ascending">
      <items count="5">
        <item x="2"/>
        <item x="1"/>
        <item x="0"/>
        <item x="3"/>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s>
  <rowFields count="1">
    <field x="6"/>
  </rowFields>
  <rowItems count="5">
    <i>
      <x/>
    </i>
    <i>
      <x v="3"/>
    </i>
    <i>
      <x v="1"/>
    </i>
    <i>
      <x v="2"/>
    </i>
    <i t="grand">
      <x/>
    </i>
  </rowItems>
  <colItems count="1">
    <i/>
  </colItems>
  <dataFields count="1">
    <dataField name="Sum of Total Sales ($)" fld="5"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D4AE96-9056-4E5C-95D4-0B9A5951073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B10" firstHeaderRow="1" firstDataRow="1" firstDataCol="1"/>
  <pivotFields count="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7">
        <item x="1"/>
        <item x="2"/>
        <item x="4"/>
        <item x="0"/>
        <item x="3"/>
        <item x="5"/>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Items count="1">
    <i/>
  </colItems>
  <dataFields count="1">
    <dataField name="Sum of Total Sales ($)" fld="5"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EFBE970-9EF5-4ADB-9233-0F07882A8D8B}" autoFormatId="16" applyNumberFormats="0" applyBorderFormats="0" applyFontFormats="0" applyPatternFormats="0" applyAlignmentFormats="0" applyWidthHeightFormats="0">
  <queryTableRefresh nextId="8">
    <queryTableFields count="7">
      <queryTableField id="1" name="Date" tableColumnId="1"/>
      <queryTableField id="2" name="Product" tableColumnId="2"/>
      <queryTableField id="3" name="Category" tableColumnId="3"/>
      <queryTableField id="4" name="Quantity" tableColumnId="4"/>
      <queryTableField id="5" name="Unit Price ($)" tableColumnId="5"/>
      <queryTableField id="6" name="Total Sales ($)" tableColumnId="6"/>
      <queryTableField id="7" name="Region"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D8CE0DA-F56A-436B-85B9-AAF770A0240C}" sourceName="Region">
  <pivotTables>
    <pivotTable tabId="3" name="PivotTable2"/>
  </pivotTables>
  <data>
    <tabular pivotCacheId="466004579">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77E1ABE-4DD0-465E-9082-3314C117B12C}" sourceName="Product">
  <pivotTables>
    <pivotTable tabId="3" name="PivotTable1"/>
  </pivotTables>
  <data>
    <tabular pivotCacheId="466004579">
      <items count="6">
        <i x="5" s="1"/>
        <i x="3" s="1"/>
        <i x="0"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0CD576D-D9CF-4643-9292-98D28D7362D7}" cache="Slicer_Region" caption="Region" rowHeight="241300"/>
  <slicer name="Product" xr10:uid="{2EE0D898-6ABC-4A30-BAC0-00A528B8C16C}"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C576FE5-E609-4AD2-9D49-5075EC90530A}" cache="Slicer_Region" caption="Region" columnCount="2" style="SlicerStyleLight4" rowHeight="241300"/>
  <slicer name="Product 1" xr10:uid="{849623AF-EFB0-41E5-8D63-10DD909216A8}" cache="Slicer_Product" caption="Product" columnCount="2"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8779BC-FAF2-4929-AF82-12E33F9956D8}" name="Sales_Dataset_Upwork_Portfolio" displayName="Sales_Dataset_Upwork_Portfolio" ref="A1:G121" tableType="queryTable" totalsRowShown="0">
  <autoFilter ref="A1:G121" xr:uid="{298779BC-FAF2-4929-AF82-12E33F9956D8}"/>
  <tableColumns count="7">
    <tableColumn id="1" xr3:uid="{5233F880-354E-4EAB-BAFF-0716476AF410}" uniqueName="1" name="Date" queryTableFieldId="1" dataDxfId="7"/>
    <tableColumn id="2" xr3:uid="{36205A8C-1A8A-4C1E-B0F5-2B46BE29FB67}" uniqueName="2" name="Product" queryTableFieldId="2" dataDxfId="6"/>
    <tableColumn id="3" xr3:uid="{4A6DD28E-D0C0-4805-8679-C6263BF66D2F}" uniqueName="3" name="Category" queryTableFieldId="3" dataDxfId="5"/>
    <tableColumn id="4" xr3:uid="{7F8DE88A-9FF3-4979-8B0B-0BCEC576C902}" uniqueName="4" name="Quantity" queryTableFieldId="4"/>
    <tableColumn id="5" xr3:uid="{255C7442-0AF5-46C3-BBC2-E3D8759E8198}" uniqueName="5" name="Unit Price ($)" queryTableFieldId="5"/>
    <tableColumn id="6" xr3:uid="{A12F56FA-C35F-4341-9E52-65E1570F2B3F}" uniqueName="6" name="Total Sales ($)" queryTableFieldId="6" dataDxfId="4" dataCellStyle="Currency"/>
    <tableColumn id="7" xr3:uid="{83062E06-9118-4F61-A604-C84A419781C9}" uniqueName="7" name="Region" queryTableFieldId="7"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AF911-77B2-4E24-A689-28407418907B}">
  <dimension ref="A3:E24"/>
  <sheetViews>
    <sheetView zoomScale="89" zoomScaleNormal="89" workbookViewId="0">
      <selection activeCell="E13" sqref="E13"/>
    </sheetView>
  </sheetViews>
  <sheetFormatPr defaultRowHeight="15" x14ac:dyDescent="0.25"/>
  <cols>
    <col min="1" max="1" width="13.140625" bestFit="1" customWidth="1"/>
    <col min="2" max="3" width="20.140625" bestFit="1" customWidth="1"/>
    <col min="4" max="4" width="13.140625" bestFit="1" customWidth="1"/>
    <col min="5" max="5" width="20.140625" bestFit="1" customWidth="1"/>
  </cols>
  <sheetData>
    <row r="3" spans="1:5" x14ac:dyDescent="0.25">
      <c r="A3" s="2" t="s">
        <v>19</v>
      </c>
      <c r="B3" t="s">
        <v>21</v>
      </c>
      <c r="D3" s="2" t="s">
        <v>19</v>
      </c>
      <c r="E3" t="s">
        <v>21</v>
      </c>
    </row>
    <row r="4" spans="1:5" x14ac:dyDescent="0.25">
      <c r="A4" s="3" t="s">
        <v>10</v>
      </c>
      <c r="B4" s="5">
        <v>20825</v>
      </c>
      <c r="D4" s="3" t="s">
        <v>14</v>
      </c>
      <c r="E4" s="5">
        <v>15825</v>
      </c>
    </row>
    <row r="5" spans="1:5" x14ac:dyDescent="0.25">
      <c r="A5" s="3" t="s">
        <v>12</v>
      </c>
      <c r="B5" s="5">
        <v>19400</v>
      </c>
      <c r="D5" s="3" t="s">
        <v>15</v>
      </c>
      <c r="E5" s="5">
        <v>22975</v>
      </c>
    </row>
    <row r="6" spans="1:5" x14ac:dyDescent="0.25">
      <c r="A6" s="3" t="s">
        <v>17</v>
      </c>
      <c r="B6" s="5">
        <v>15800</v>
      </c>
      <c r="D6" s="3" t="s">
        <v>11</v>
      </c>
      <c r="E6" s="5">
        <v>25675</v>
      </c>
    </row>
    <row r="7" spans="1:5" x14ac:dyDescent="0.25">
      <c r="A7" s="3" t="s">
        <v>7</v>
      </c>
      <c r="B7" s="5">
        <v>17875</v>
      </c>
      <c r="D7" s="3" t="s">
        <v>9</v>
      </c>
      <c r="E7" s="5">
        <v>29100</v>
      </c>
    </row>
    <row r="8" spans="1:5" x14ac:dyDescent="0.25">
      <c r="A8" s="3" t="s">
        <v>16</v>
      </c>
      <c r="B8" s="5">
        <v>13225</v>
      </c>
      <c r="D8" s="3" t="s">
        <v>20</v>
      </c>
      <c r="E8" s="5">
        <v>93575</v>
      </c>
    </row>
    <row r="9" spans="1:5" x14ac:dyDescent="0.25">
      <c r="A9" s="3" t="s">
        <v>18</v>
      </c>
      <c r="B9" s="5">
        <v>6450</v>
      </c>
    </row>
    <row r="10" spans="1:5" x14ac:dyDescent="0.25">
      <c r="A10" s="3" t="s">
        <v>20</v>
      </c>
      <c r="B10" s="5">
        <v>93575</v>
      </c>
    </row>
    <row r="14" spans="1:5" x14ac:dyDescent="0.25">
      <c r="A14" s="2" t="s">
        <v>19</v>
      </c>
      <c r="B14" t="s">
        <v>21</v>
      </c>
    </row>
    <row r="15" spans="1:5" x14ac:dyDescent="0.25">
      <c r="A15" s="3" t="s">
        <v>25</v>
      </c>
      <c r="B15" s="5">
        <v>24325</v>
      </c>
    </row>
    <row r="16" spans="1:5" x14ac:dyDescent="0.25">
      <c r="A16" s="3" t="s">
        <v>24</v>
      </c>
      <c r="B16" s="5">
        <v>17325</v>
      </c>
    </row>
    <row r="17" spans="1:4" x14ac:dyDescent="0.25">
      <c r="A17" s="3" t="s">
        <v>27</v>
      </c>
      <c r="B17" s="5">
        <v>14850</v>
      </c>
      <c r="D17" s="2" t="s">
        <v>33</v>
      </c>
    </row>
    <row r="18" spans="1:4" x14ac:dyDescent="0.25">
      <c r="A18" s="3" t="s">
        <v>22</v>
      </c>
      <c r="B18" s="5">
        <v>13075</v>
      </c>
      <c r="D18" s="6">
        <v>2700</v>
      </c>
    </row>
    <row r="19" spans="1:4" x14ac:dyDescent="0.25">
      <c r="A19" s="3" t="s">
        <v>26</v>
      </c>
      <c r="B19" s="5">
        <v>12950</v>
      </c>
    </row>
    <row r="20" spans="1:4" x14ac:dyDescent="0.25">
      <c r="A20" s="3" t="s">
        <v>23</v>
      </c>
      <c r="B20" s="5">
        <v>11050</v>
      </c>
    </row>
    <row r="21" spans="1:4" x14ac:dyDescent="0.25">
      <c r="A21" s="3" t="s">
        <v>20</v>
      </c>
      <c r="B21" s="5">
        <v>93575</v>
      </c>
    </row>
    <row r="23" spans="1:4" x14ac:dyDescent="0.25">
      <c r="A23" t="s">
        <v>21</v>
      </c>
      <c r="C23" s="2" t="s">
        <v>32</v>
      </c>
    </row>
    <row r="24" spans="1:4" x14ac:dyDescent="0.25">
      <c r="A24" s="6">
        <v>93575</v>
      </c>
      <c r="C24" s="6">
        <v>779.79166666666663</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53FCE-2F7E-44FD-9628-4BD5A4C1036A}">
  <dimension ref="A1:J126"/>
  <sheetViews>
    <sheetView tabSelected="1" topLeftCell="A97" zoomScale="70" zoomScaleNormal="70" workbookViewId="0">
      <selection activeCell="E123" sqref="E123"/>
    </sheetView>
  </sheetViews>
  <sheetFormatPr defaultRowHeight="15" x14ac:dyDescent="0.25"/>
  <cols>
    <col min="1" max="1" width="14.140625" customWidth="1"/>
    <col min="2" max="2" width="14.5703125" customWidth="1"/>
    <col min="3" max="3" width="14.7109375" customWidth="1"/>
    <col min="4" max="4" width="14.5703125" bestFit="1" customWidth="1"/>
    <col min="5" max="5" width="20" bestFit="1" customWidth="1"/>
    <col min="6" max="6" width="23.140625" style="4" bestFit="1" customWidth="1"/>
    <col min="7" max="7" width="14" customWidth="1"/>
  </cols>
  <sheetData>
    <row r="1" spans="1:10" x14ac:dyDescent="0.25">
      <c r="A1" t="s">
        <v>0</v>
      </c>
      <c r="B1" t="s">
        <v>1</v>
      </c>
      <c r="C1" t="s">
        <v>2</v>
      </c>
      <c r="D1" t="s">
        <v>3</v>
      </c>
      <c r="E1" t="s">
        <v>4</v>
      </c>
      <c r="F1" s="4" t="s">
        <v>5</v>
      </c>
      <c r="G1" t="s">
        <v>6</v>
      </c>
      <c r="I1" t="s">
        <v>6</v>
      </c>
      <c r="J1" t="s">
        <v>31</v>
      </c>
    </row>
    <row r="2" spans="1:10" x14ac:dyDescent="0.25">
      <c r="A2" s="1">
        <v>45821</v>
      </c>
      <c r="B2" t="s">
        <v>7</v>
      </c>
      <c r="C2" t="s">
        <v>8</v>
      </c>
      <c r="D2">
        <v>1</v>
      </c>
      <c r="E2">
        <v>300</v>
      </c>
      <c r="F2" s="4">
        <v>300</v>
      </c>
      <c r="G2" t="s">
        <v>9</v>
      </c>
      <c r="I2" t="s">
        <v>11</v>
      </c>
    </row>
    <row r="3" spans="1:10" x14ac:dyDescent="0.25">
      <c r="A3" s="1">
        <v>45720</v>
      </c>
      <c r="B3" t="s">
        <v>10</v>
      </c>
      <c r="C3" t="s">
        <v>8</v>
      </c>
      <c r="D3">
        <v>3</v>
      </c>
      <c r="E3">
        <v>300</v>
      </c>
      <c r="F3" s="4">
        <v>900</v>
      </c>
      <c r="G3" t="s">
        <v>11</v>
      </c>
      <c r="I3" t="s">
        <v>15</v>
      </c>
    </row>
    <row r="4" spans="1:10" x14ac:dyDescent="0.25">
      <c r="A4" s="1">
        <v>45831</v>
      </c>
      <c r="B4" t="s">
        <v>12</v>
      </c>
      <c r="C4" t="s">
        <v>13</v>
      </c>
      <c r="D4">
        <v>9</v>
      </c>
      <c r="E4">
        <v>50</v>
      </c>
      <c r="F4" s="4">
        <v>450</v>
      </c>
      <c r="G4" t="s">
        <v>14</v>
      </c>
      <c r="I4" t="s">
        <v>9</v>
      </c>
    </row>
    <row r="5" spans="1:10" x14ac:dyDescent="0.25">
      <c r="A5" s="1">
        <v>45666</v>
      </c>
      <c r="B5" t="s">
        <v>7</v>
      </c>
      <c r="C5" t="s">
        <v>8</v>
      </c>
      <c r="D5">
        <v>2</v>
      </c>
      <c r="E5">
        <v>75</v>
      </c>
      <c r="F5" s="4">
        <v>150</v>
      </c>
      <c r="G5" t="s">
        <v>15</v>
      </c>
      <c r="I5" t="s">
        <v>14</v>
      </c>
    </row>
    <row r="6" spans="1:10" x14ac:dyDescent="0.25">
      <c r="A6" s="1">
        <v>45787</v>
      </c>
      <c r="B6" t="s">
        <v>16</v>
      </c>
      <c r="C6" t="s">
        <v>13</v>
      </c>
      <c r="D6">
        <v>1</v>
      </c>
      <c r="E6">
        <v>200</v>
      </c>
      <c r="F6" s="4">
        <v>200</v>
      </c>
      <c r="G6" t="s">
        <v>15</v>
      </c>
    </row>
    <row r="7" spans="1:10" x14ac:dyDescent="0.25">
      <c r="A7" s="1">
        <v>45824</v>
      </c>
      <c r="B7" t="s">
        <v>12</v>
      </c>
      <c r="C7" t="s">
        <v>13</v>
      </c>
      <c r="D7">
        <v>9</v>
      </c>
      <c r="E7">
        <v>150</v>
      </c>
      <c r="F7" s="4">
        <v>1350</v>
      </c>
      <c r="G7" t="s">
        <v>15</v>
      </c>
    </row>
    <row r="8" spans="1:10" x14ac:dyDescent="0.25">
      <c r="A8" s="1">
        <v>45772</v>
      </c>
      <c r="B8" t="s">
        <v>16</v>
      </c>
      <c r="C8" t="s">
        <v>13</v>
      </c>
      <c r="D8">
        <v>5</v>
      </c>
      <c r="E8">
        <v>50</v>
      </c>
      <c r="F8" s="4">
        <v>250</v>
      </c>
      <c r="G8" t="s">
        <v>15</v>
      </c>
    </row>
    <row r="9" spans="1:10" x14ac:dyDescent="0.25">
      <c r="A9" s="1">
        <v>45836</v>
      </c>
      <c r="B9" t="s">
        <v>17</v>
      </c>
      <c r="C9" t="s">
        <v>8</v>
      </c>
      <c r="D9">
        <v>6</v>
      </c>
      <c r="E9">
        <v>100</v>
      </c>
      <c r="F9" s="4">
        <v>600</v>
      </c>
      <c r="G9" t="s">
        <v>15</v>
      </c>
    </row>
    <row r="10" spans="1:10" x14ac:dyDescent="0.25">
      <c r="A10" s="1">
        <v>45713</v>
      </c>
      <c r="B10" t="s">
        <v>18</v>
      </c>
      <c r="C10" t="s">
        <v>13</v>
      </c>
      <c r="D10">
        <v>2</v>
      </c>
      <c r="E10">
        <v>50</v>
      </c>
      <c r="F10" s="4">
        <v>100</v>
      </c>
      <c r="G10" t="s">
        <v>14</v>
      </c>
    </row>
    <row r="11" spans="1:10" x14ac:dyDescent="0.25">
      <c r="A11" s="1">
        <v>45682</v>
      </c>
      <c r="B11" t="s">
        <v>18</v>
      </c>
      <c r="C11" t="s">
        <v>13</v>
      </c>
      <c r="D11">
        <v>6</v>
      </c>
      <c r="E11">
        <v>200</v>
      </c>
      <c r="F11" s="4">
        <v>1200</v>
      </c>
      <c r="G11" t="s">
        <v>9</v>
      </c>
    </row>
    <row r="12" spans="1:10" x14ac:dyDescent="0.25">
      <c r="A12" s="1">
        <v>45669</v>
      </c>
      <c r="B12" t="s">
        <v>12</v>
      </c>
      <c r="C12" t="s">
        <v>13</v>
      </c>
      <c r="D12">
        <v>8</v>
      </c>
      <c r="E12">
        <v>200</v>
      </c>
      <c r="F12" s="4">
        <v>1600</v>
      </c>
      <c r="G12" t="s">
        <v>11</v>
      </c>
    </row>
    <row r="13" spans="1:10" x14ac:dyDescent="0.25">
      <c r="A13" s="1">
        <v>45754</v>
      </c>
      <c r="B13" t="s">
        <v>7</v>
      </c>
      <c r="C13" t="s">
        <v>8</v>
      </c>
      <c r="D13">
        <v>9</v>
      </c>
      <c r="E13">
        <v>100</v>
      </c>
      <c r="F13" s="4">
        <v>900</v>
      </c>
      <c r="G13" t="s">
        <v>9</v>
      </c>
    </row>
    <row r="14" spans="1:10" x14ac:dyDescent="0.25">
      <c r="A14" s="1">
        <v>45805</v>
      </c>
      <c r="B14" t="s">
        <v>10</v>
      </c>
      <c r="C14" t="s">
        <v>8</v>
      </c>
      <c r="D14">
        <v>2</v>
      </c>
      <c r="E14">
        <v>50</v>
      </c>
      <c r="F14" s="4">
        <v>100</v>
      </c>
      <c r="G14" t="s">
        <v>15</v>
      </c>
    </row>
    <row r="15" spans="1:10" x14ac:dyDescent="0.25">
      <c r="A15" s="1">
        <v>45732</v>
      </c>
      <c r="B15" t="s">
        <v>7</v>
      </c>
      <c r="C15" t="s">
        <v>8</v>
      </c>
      <c r="D15">
        <v>4</v>
      </c>
      <c r="E15">
        <v>50</v>
      </c>
      <c r="F15" s="4">
        <v>200</v>
      </c>
      <c r="G15" t="s">
        <v>14</v>
      </c>
    </row>
    <row r="16" spans="1:10" x14ac:dyDescent="0.25">
      <c r="A16" s="1">
        <v>45729</v>
      </c>
      <c r="B16" t="s">
        <v>17</v>
      </c>
      <c r="C16" t="s">
        <v>8</v>
      </c>
      <c r="D16">
        <v>6</v>
      </c>
      <c r="E16">
        <v>75</v>
      </c>
      <c r="F16" s="4">
        <v>450</v>
      </c>
      <c r="G16" t="s">
        <v>9</v>
      </c>
    </row>
    <row r="17" spans="1:7" x14ac:dyDescent="0.25">
      <c r="A17" s="1">
        <v>45748</v>
      </c>
      <c r="B17" t="s">
        <v>10</v>
      </c>
      <c r="C17" t="s">
        <v>8</v>
      </c>
      <c r="D17">
        <v>5</v>
      </c>
      <c r="E17">
        <v>300</v>
      </c>
      <c r="F17" s="4">
        <v>1500</v>
      </c>
      <c r="G17" t="s">
        <v>11</v>
      </c>
    </row>
    <row r="18" spans="1:7" x14ac:dyDescent="0.25">
      <c r="A18" s="1">
        <v>45813</v>
      </c>
      <c r="B18" t="s">
        <v>12</v>
      </c>
      <c r="C18" t="s">
        <v>13</v>
      </c>
      <c r="D18">
        <v>3</v>
      </c>
      <c r="E18">
        <v>200</v>
      </c>
      <c r="F18" s="4">
        <v>600</v>
      </c>
      <c r="G18" t="s">
        <v>15</v>
      </c>
    </row>
    <row r="19" spans="1:7" x14ac:dyDescent="0.25">
      <c r="A19" s="1">
        <v>45699</v>
      </c>
      <c r="B19" t="s">
        <v>17</v>
      </c>
      <c r="C19" t="s">
        <v>8</v>
      </c>
      <c r="D19">
        <v>7</v>
      </c>
      <c r="E19">
        <v>100</v>
      </c>
      <c r="F19" s="4">
        <v>700</v>
      </c>
      <c r="G19" t="s">
        <v>15</v>
      </c>
    </row>
    <row r="20" spans="1:7" x14ac:dyDescent="0.25">
      <c r="A20" s="1">
        <v>45833</v>
      </c>
      <c r="B20" t="s">
        <v>18</v>
      </c>
      <c r="C20" t="s">
        <v>13</v>
      </c>
      <c r="D20">
        <v>1</v>
      </c>
      <c r="E20">
        <v>75</v>
      </c>
      <c r="F20" s="4">
        <v>75</v>
      </c>
      <c r="G20" t="s">
        <v>11</v>
      </c>
    </row>
    <row r="21" spans="1:7" x14ac:dyDescent="0.25">
      <c r="A21" s="1">
        <v>45738</v>
      </c>
      <c r="B21" t="s">
        <v>17</v>
      </c>
      <c r="C21" t="s">
        <v>8</v>
      </c>
      <c r="D21">
        <v>5</v>
      </c>
      <c r="E21">
        <v>50</v>
      </c>
      <c r="F21" s="4">
        <v>250</v>
      </c>
      <c r="G21" t="s">
        <v>15</v>
      </c>
    </row>
    <row r="22" spans="1:7" x14ac:dyDescent="0.25">
      <c r="A22" s="1">
        <v>45803</v>
      </c>
      <c r="B22" t="s">
        <v>12</v>
      </c>
      <c r="C22" t="s">
        <v>13</v>
      </c>
      <c r="D22">
        <v>6</v>
      </c>
      <c r="E22">
        <v>75</v>
      </c>
      <c r="F22" s="4">
        <v>450</v>
      </c>
      <c r="G22" t="s">
        <v>14</v>
      </c>
    </row>
    <row r="23" spans="1:7" x14ac:dyDescent="0.25">
      <c r="A23" s="1">
        <v>45759</v>
      </c>
      <c r="B23" t="s">
        <v>12</v>
      </c>
      <c r="C23" t="s">
        <v>13</v>
      </c>
      <c r="D23">
        <v>8</v>
      </c>
      <c r="E23">
        <v>75</v>
      </c>
      <c r="F23" s="4">
        <v>600</v>
      </c>
      <c r="G23" t="s">
        <v>9</v>
      </c>
    </row>
    <row r="24" spans="1:7" x14ac:dyDescent="0.25">
      <c r="A24" s="1">
        <v>45693</v>
      </c>
      <c r="B24" t="s">
        <v>10</v>
      </c>
      <c r="C24" t="s">
        <v>8</v>
      </c>
      <c r="D24">
        <v>9</v>
      </c>
      <c r="E24">
        <v>200</v>
      </c>
      <c r="F24" s="4">
        <v>1800</v>
      </c>
      <c r="G24" t="s">
        <v>9</v>
      </c>
    </row>
    <row r="25" spans="1:7" x14ac:dyDescent="0.25">
      <c r="A25" s="1">
        <v>45807</v>
      </c>
      <c r="B25" t="s">
        <v>17</v>
      </c>
      <c r="C25" t="s">
        <v>8</v>
      </c>
      <c r="D25">
        <v>10</v>
      </c>
      <c r="E25">
        <v>150</v>
      </c>
      <c r="F25" s="4">
        <v>1500</v>
      </c>
      <c r="G25" t="s">
        <v>9</v>
      </c>
    </row>
    <row r="26" spans="1:7" x14ac:dyDescent="0.25">
      <c r="A26" s="1">
        <v>45714</v>
      </c>
      <c r="B26" t="s">
        <v>10</v>
      </c>
      <c r="C26" t="s">
        <v>8</v>
      </c>
      <c r="D26">
        <v>9</v>
      </c>
      <c r="E26">
        <v>150</v>
      </c>
      <c r="F26" s="4">
        <v>1350</v>
      </c>
      <c r="G26" t="s">
        <v>11</v>
      </c>
    </row>
    <row r="27" spans="1:7" x14ac:dyDescent="0.25">
      <c r="A27" s="1">
        <v>45670</v>
      </c>
      <c r="B27" t="s">
        <v>7</v>
      </c>
      <c r="C27" t="s">
        <v>8</v>
      </c>
      <c r="D27">
        <v>3</v>
      </c>
      <c r="E27">
        <v>300</v>
      </c>
      <c r="F27" s="4">
        <v>900</v>
      </c>
      <c r="G27" t="s">
        <v>15</v>
      </c>
    </row>
    <row r="28" spans="1:7" x14ac:dyDescent="0.25">
      <c r="A28" s="1">
        <v>45832</v>
      </c>
      <c r="B28" t="s">
        <v>17</v>
      </c>
      <c r="C28" t="s">
        <v>8</v>
      </c>
      <c r="D28">
        <v>10</v>
      </c>
      <c r="E28">
        <v>50</v>
      </c>
      <c r="F28" s="4">
        <v>500</v>
      </c>
      <c r="G28" t="s">
        <v>14</v>
      </c>
    </row>
    <row r="29" spans="1:7" x14ac:dyDescent="0.25">
      <c r="A29" s="1">
        <v>45755</v>
      </c>
      <c r="B29" t="s">
        <v>16</v>
      </c>
      <c r="C29" t="s">
        <v>13</v>
      </c>
      <c r="D29">
        <v>8</v>
      </c>
      <c r="E29">
        <v>200</v>
      </c>
      <c r="F29" s="4">
        <v>1600</v>
      </c>
      <c r="G29" t="s">
        <v>9</v>
      </c>
    </row>
    <row r="30" spans="1:7" x14ac:dyDescent="0.25">
      <c r="A30" s="1">
        <v>45799</v>
      </c>
      <c r="B30" t="s">
        <v>7</v>
      </c>
      <c r="C30" t="s">
        <v>8</v>
      </c>
      <c r="D30">
        <v>2</v>
      </c>
      <c r="E30">
        <v>300</v>
      </c>
      <c r="F30" s="4">
        <v>600</v>
      </c>
      <c r="G30" t="s">
        <v>9</v>
      </c>
    </row>
    <row r="31" spans="1:7" x14ac:dyDescent="0.25">
      <c r="A31" s="1">
        <v>45822</v>
      </c>
      <c r="B31" t="s">
        <v>18</v>
      </c>
      <c r="C31" t="s">
        <v>13</v>
      </c>
      <c r="D31">
        <v>2</v>
      </c>
      <c r="E31">
        <v>100</v>
      </c>
      <c r="F31" s="4">
        <v>200</v>
      </c>
      <c r="G31" t="s">
        <v>14</v>
      </c>
    </row>
    <row r="32" spans="1:7" x14ac:dyDescent="0.25">
      <c r="A32" s="1">
        <v>45698</v>
      </c>
      <c r="B32" t="s">
        <v>17</v>
      </c>
      <c r="C32" t="s">
        <v>8</v>
      </c>
      <c r="D32">
        <v>1</v>
      </c>
      <c r="E32">
        <v>300</v>
      </c>
      <c r="F32" s="4">
        <v>300</v>
      </c>
      <c r="G32" t="s">
        <v>9</v>
      </c>
    </row>
    <row r="33" spans="1:7" x14ac:dyDescent="0.25">
      <c r="A33" s="1">
        <v>45786</v>
      </c>
      <c r="B33" t="s">
        <v>10</v>
      </c>
      <c r="C33" t="s">
        <v>8</v>
      </c>
      <c r="D33">
        <v>9</v>
      </c>
      <c r="E33">
        <v>50</v>
      </c>
      <c r="F33" s="4">
        <v>450</v>
      </c>
      <c r="G33" t="s">
        <v>9</v>
      </c>
    </row>
    <row r="34" spans="1:7" x14ac:dyDescent="0.25">
      <c r="A34" s="1">
        <v>45821</v>
      </c>
      <c r="B34" t="s">
        <v>16</v>
      </c>
      <c r="C34" t="s">
        <v>13</v>
      </c>
      <c r="D34">
        <v>10</v>
      </c>
      <c r="E34">
        <v>75</v>
      </c>
      <c r="F34" s="4">
        <v>750</v>
      </c>
      <c r="G34" t="s">
        <v>15</v>
      </c>
    </row>
    <row r="35" spans="1:7" x14ac:dyDescent="0.25">
      <c r="A35" s="1">
        <v>45753</v>
      </c>
      <c r="B35" t="s">
        <v>10</v>
      </c>
      <c r="C35" t="s">
        <v>8</v>
      </c>
      <c r="D35">
        <v>9</v>
      </c>
      <c r="E35">
        <v>200</v>
      </c>
      <c r="F35" s="4">
        <v>1800</v>
      </c>
      <c r="G35" t="s">
        <v>11</v>
      </c>
    </row>
    <row r="36" spans="1:7" x14ac:dyDescent="0.25">
      <c r="A36" s="1">
        <v>45811</v>
      </c>
      <c r="B36" t="s">
        <v>18</v>
      </c>
      <c r="C36" t="s">
        <v>13</v>
      </c>
      <c r="D36">
        <v>8</v>
      </c>
      <c r="E36">
        <v>50</v>
      </c>
      <c r="F36" s="4">
        <v>400</v>
      </c>
      <c r="G36" t="s">
        <v>11</v>
      </c>
    </row>
    <row r="37" spans="1:7" x14ac:dyDescent="0.25">
      <c r="A37" s="1">
        <v>45750</v>
      </c>
      <c r="B37" t="s">
        <v>18</v>
      </c>
      <c r="C37" t="s">
        <v>13</v>
      </c>
      <c r="D37">
        <v>4</v>
      </c>
      <c r="E37">
        <v>50</v>
      </c>
      <c r="F37" s="4">
        <v>200</v>
      </c>
      <c r="G37" t="s">
        <v>15</v>
      </c>
    </row>
    <row r="38" spans="1:7" x14ac:dyDescent="0.25">
      <c r="A38" s="1">
        <v>45803</v>
      </c>
      <c r="B38" t="s">
        <v>7</v>
      </c>
      <c r="C38" t="s">
        <v>8</v>
      </c>
      <c r="D38">
        <v>2</v>
      </c>
      <c r="E38">
        <v>300</v>
      </c>
      <c r="F38" s="4">
        <v>600</v>
      </c>
      <c r="G38" t="s">
        <v>14</v>
      </c>
    </row>
    <row r="39" spans="1:7" x14ac:dyDescent="0.25">
      <c r="A39" s="1">
        <v>45675</v>
      </c>
      <c r="B39" t="s">
        <v>16</v>
      </c>
      <c r="C39" t="s">
        <v>13</v>
      </c>
      <c r="D39">
        <v>3</v>
      </c>
      <c r="E39">
        <v>75</v>
      </c>
      <c r="F39" s="4">
        <v>225</v>
      </c>
      <c r="G39" t="s">
        <v>14</v>
      </c>
    </row>
    <row r="40" spans="1:7" x14ac:dyDescent="0.25">
      <c r="A40" s="1">
        <v>45798</v>
      </c>
      <c r="B40" t="s">
        <v>10</v>
      </c>
      <c r="C40" t="s">
        <v>8</v>
      </c>
      <c r="D40">
        <v>5</v>
      </c>
      <c r="E40">
        <v>200</v>
      </c>
      <c r="F40" s="4">
        <v>1000</v>
      </c>
      <c r="G40" t="s">
        <v>14</v>
      </c>
    </row>
    <row r="41" spans="1:7" x14ac:dyDescent="0.25">
      <c r="A41" s="1">
        <v>45712</v>
      </c>
      <c r="B41" t="s">
        <v>16</v>
      </c>
      <c r="C41" t="s">
        <v>13</v>
      </c>
      <c r="D41">
        <v>4</v>
      </c>
      <c r="E41">
        <v>300</v>
      </c>
      <c r="F41" s="4">
        <v>1200</v>
      </c>
      <c r="G41" t="s">
        <v>9</v>
      </c>
    </row>
    <row r="42" spans="1:7" x14ac:dyDescent="0.25">
      <c r="A42" s="1">
        <v>45760</v>
      </c>
      <c r="B42" t="s">
        <v>12</v>
      </c>
      <c r="C42" t="s">
        <v>13</v>
      </c>
      <c r="D42">
        <v>6</v>
      </c>
      <c r="E42">
        <v>150</v>
      </c>
      <c r="F42" s="4">
        <v>900</v>
      </c>
      <c r="G42" t="s">
        <v>14</v>
      </c>
    </row>
    <row r="43" spans="1:7" x14ac:dyDescent="0.25">
      <c r="A43" s="1">
        <v>45688</v>
      </c>
      <c r="B43" t="s">
        <v>10</v>
      </c>
      <c r="C43" t="s">
        <v>8</v>
      </c>
      <c r="D43">
        <v>4</v>
      </c>
      <c r="E43">
        <v>50</v>
      </c>
      <c r="F43" s="4">
        <v>200</v>
      </c>
      <c r="G43" t="s">
        <v>9</v>
      </c>
    </row>
    <row r="44" spans="1:7" x14ac:dyDescent="0.25">
      <c r="A44" s="1">
        <v>45663</v>
      </c>
      <c r="B44" t="s">
        <v>16</v>
      </c>
      <c r="C44" t="s">
        <v>13</v>
      </c>
      <c r="D44">
        <v>9</v>
      </c>
      <c r="E44">
        <v>75</v>
      </c>
      <c r="F44" s="4">
        <v>675</v>
      </c>
      <c r="G44" t="s">
        <v>15</v>
      </c>
    </row>
    <row r="45" spans="1:7" x14ac:dyDescent="0.25">
      <c r="A45" s="1">
        <v>45659</v>
      </c>
      <c r="B45" t="s">
        <v>7</v>
      </c>
      <c r="C45" t="s">
        <v>8</v>
      </c>
      <c r="D45">
        <v>1</v>
      </c>
      <c r="E45">
        <v>75</v>
      </c>
      <c r="F45" s="4">
        <v>75</v>
      </c>
      <c r="G45" t="s">
        <v>11</v>
      </c>
    </row>
    <row r="46" spans="1:7" x14ac:dyDescent="0.25">
      <c r="A46" s="1">
        <v>45666</v>
      </c>
      <c r="B46" t="s">
        <v>18</v>
      </c>
      <c r="C46" t="s">
        <v>13</v>
      </c>
      <c r="D46">
        <v>2</v>
      </c>
      <c r="E46">
        <v>200</v>
      </c>
      <c r="F46" s="4">
        <v>400</v>
      </c>
      <c r="G46" t="s">
        <v>15</v>
      </c>
    </row>
    <row r="47" spans="1:7" x14ac:dyDescent="0.25">
      <c r="A47" s="1">
        <v>45729</v>
      </c>
      <c r="B47" t="s">
        <v>12</v>
      </c>
      <c r="C47" t="s">
        <v>13</v>
      </c>
      <c r="D47">
        <v>8</v>
      </c>
      <c r="E47">
        <v>75</v>
      </c>
      <c r="F47" s="4">
        <v>600</v>
      </c>
      <c r="G47" t="s">
        <v>15</v>
      </c>
    </row>
    <row r="48" spans="1:7" x14ac:dyDescent="0.25">
      <c r="A48" s="1">
        <v>45804</v>
      </c>
      <c r="B48" t="s">
        <v>16</v>
      </c>
      <c r="C48" t="s">
        <v>13</v>
      </c>
      <c r="D48">
        <v>8</v>
      </c>
      <c r="E48">
        <v>75</v>
      </c>
      <c r="F48" s="4">
        <v>600</v>
      </c>
      <c r="G48" t="s">
        <v>14</v>
      </c>
    </row>
    <row r="49" spans="1:7" x14ac:dyDescent="0.25">
      <c r="A49" s="1">
        <v>45762</v>
      </c>
      <c r="B49" t="s">
        <v>10</v>
      </c>
      <c r="C49" t="s">
        <v>8</v>
      </c>
      <c r="D49">
        <v>2</v>
      </c>
      <c r="E49">
        <v>50</v>
      </c>
      <c r="F49" s="4">
        <v>100</v>
      </c>
      <c r="G49" t="s">
        <v>14</v>
      </c>
    </row>
    <row r="50" spans="1:7" x14ac:dyDescent="0.25">
      <c r="A50" s="1">
        <v>45748</v>
      </c>
      <c r="B50" t="s">
        <v>17</v>
      </c>
      <c r="C50" t="s">
        <v>8</v>
      </c>
      <c r="D50">
        <v>7</v>
      </c>
      <c r="E50">
        <v>150</v>
      </c>
      <c r="F50" s="4">
        <v>1050</v>
      </c>
      <c r="G50" t="s">
        <v>11</v>
      </c>
    </row>
    <row r="51" spans="1:7" x14ac:dyDescent="0.25">
      <c r="A51" s="1">
        <v>45830</v>
      </c>
      <c r="B51" t="s">
        <v>12</v>
      </c>
      <c r="C51" t="s">
        <v>13</v>
      </c>
      <c r="D51">
        <v>2</v>
      </c>
      <c r="E51">
        <v>50</v>
      </c>
      <c r="F51" s="4">
        <v>100</v>
      </c>
      <c r="G51" t="s">
        <v>14</v>
      </c>
    </row>
    <row r="52" spans="1:7" x14ac:dyDescent="0.25">
      <c r="A52" s="1">
        <v>45744</v>
      </c>
      <c r="B52" t="s">
        <v>7</v>
      </c>
      <c r="C52" t="s">
        <v>8</v>
      </c>
      <c r="D52">
        <v>4</v>
      </c>
      <c r="E52">
        <v>75</v>
      </c>
      <c r="F52" s="4">
        <v>300</v>
      </c>
      <c r="G52" t="s">
        <v>15</v>
      </c>
    </row>
    <row r="53" spans="1:7" x14ac:dyDescent="0.25">
      <c r="A53" s="1">
        <v>45795</v>
      </c>
      <c r="B53" t="s">
        <v>17</v>
      </c>
      <c r="C53" t="s">
        <v>8</v>
      </c>
      <c r="D53">
        <v>3</v>
      </c>
      <c r="E53">
        <v>150</v>
      </c>
      <c r="F53" s="4">
        <v>450</v>
      </c>
      <c r="G53" t="s">
        <v>15</v>
      </c>
    </row>
    <row r="54" spans="1:7" x14ac:dyDescent="0.25">
      <c r="A54" s="1">
        <v>45729</v>
      </c>
      <c r="B54" t="s">
        <v>17</v>
      </c>
      <c r="C54" t="s">
        <v>8</v>
      </c>
      <c r="D54">
        <v>4</v>
      </c>
      <c r="E54">
        <v>50</v>
      </c>
      <c r="F54" s="4">
        <v>200</v>
      </c>
      <c r="G54" t="s">
        <v>14</v>
      </c>
    </row>
    <row r="55" spans="1:7" x14ac:dyDescent="0.25">
      <c r="A55" s="1">
        <v>45798</v>
      </c>
      <c r="B55" t="s">
        <v>7</v>
      </c>
      <c r="C55" t="s">
        <v>8</v>
      </c>
      <c r="D55">
        <v>1</v>
      </c>
      <c r="E55">
        <v>300</v>
      </c>
      <c r="F55" s="4">
        <v>300</v>
      </c>
      <c r="G55" t="s">
        <v>11</v>
      </c>
    </row>
    <row r="56" spans="1:7" x14ac:dyDescent="0.25">
      <c r="A56" s="1">
        <v>45681</v>
      </c>
      <c r="B56" t="s">
        <v>10</v>
      </c>
      <c r="C56" t="s">
        <v>8</v>
      </c>
      <c r="D56">
        <v>3</v>
      </c>
      <c r="E56">
        <v>150</v>
      </c>
      <c r="F56" s="4">
        <v>450</v>
      </c>
      <c r="G56" t="s">
        <v>14</v>
      </c>
    </row>
    <row r="57" spans="1:7" x14ac:dyDescent="0.25">
      <c r="A57" s="1">
        <v>45781</v>
      </c>
      <c r="B57" t="s">
        <v>10</v>
      </c>
      <c r="C57" t="s">
        <v>8</v>
      </c>
      <c r="D57">
        <v>7</v>
      </c>
      <c r="E57">
        <v>50</v>
      </c>
      <c r="F57" s="4">
        <v>350</v>
      </c>
      <c r="G57" t="s">
        <v>15</v>
      </c>
    </row>
    <row r="58" spans="1:7" x14ac:dyDescent="0.25">
      <c r="A58" s="1">
        <v>45755</v>
      </c>
      <c r="B58" t="s">
        <v>7</v>
      </c>
      <c r="C58" t="s">
        <v>8</v>
      </c>
      <c r="D58">
        <v>7</v>
      </c>
      <c r="E58">
        <v>100</v>
      </c>
      <c r="F58" s="4">
        <v>700</v>
      </c>
      <c r="G58" t="s">
        <v>14</v>
      </c>
    </row>
    <row r="59" spans="1:7" x14ac:dyDescent="0.25">
      <c r="A59" s="1">
        <v>45731</v>
      </c>
      <c r="B59" t="s">
        <v>17</v>
      </c>
      <c r="C59" t="s">
        <v>8</v>
      </c>
      <c r="D59">
        <v>9</v>
      </c>
      <c r="E59">
        <v>300</v>
      </c>
      <c r="F59" s="4">
        <v>2700</v>
      </c>
      <c r="G59" t="s">
        <v>14</v>
      </c>
    </row>
    <row r="60" spans="1:7" x14ac:dyDescent="0.25">
      <c r="A60" s="1">
        <v>45697</v>
      </c>
      <c r="B60" t="s">
        <v>10</v>
      </c>
      <c r="C60" t="s">
        <v>8</v>
      </c>
      <c r="D60">
        <v>5</v>
      </c>
      <c r="E60">
        <v>75</v>
      </c>
      <c r="F60" s="4">
        <v>375</v>
      </c>
      <c r="G60" t="s">
        <v>11</v>
      </c>
    </row>
    <row r="61" spans="1:7" x14ac:dyDescent="0.25">
      <c r="A61" s="1">
        <v>45806</v>
      </c>
      <c r="B61" t="s">
        <v>12</v>
      </c>
      <c r="C61" t="s">
        <v>13</v>
      </c>
      <c r="D61">
        <v>9</v>
      </c>
      <c r="E61">
        <v>50</v>
      </c>
      <c r="F61" s="4">
        <v>450</v>
      </c>
      <c r="G61" t="s">
        <v>9</v>
      </c>
    </row>
    <row r="62" spans="1:7" x14ac:dyDescent="0.25">
      <c r="A62" s="1">
        <v>45672</v>
      </c>
      <c r="B62" t="s">
        <v>7</v>
      </c>
      <c r="C62" t="s">
        <v>8</v>
      </c>
      <c r="D62">
        <v>10</v>
      </c>
      <c r="E62">
        <v>150</v>
      </c>
      <c r="F62" s="4">
        <v>1500</v>
      </c>
      <c r="G62" t="s">
        <v>15</v>
      </c>
    </row>
    <row r="63" spans="1:7" x14ac:dyDescent="0.25">
      <c r="A63" s="1">
        <v>45672</v>
      </c>
      <c r="B63" t="s">
        <v>16</v>
      </c>
      <c r="C63" t="s">
        <v>13</v>
      </c>
      <c r="D63">
        <v>2</v>
      </c>
      <c r="E63">
        <v>75</v>
      </c>
      <c r="F63" s="4">
        <v>150</v>
      </c>
      <c r="G63" t="s">
        <v>11</v>
      </c>
    </row>
    <row r="64" spans="1:7" x14ac:dyDescent="0.25">
      <c r="A64" s="1">
        <v>45810</v>
      </c>
      <c r="B64" t="s">
        <v>7</v>
      </c>
      <c r="C64" t="s">
        <v>8</v>
      </c>
      <c r="D64">
        <v>4</v>
      </c>
      <c r="E64">
        <v>150</v>
      </c>
      <c r="F64" s="4">
        <v>600</v>
      </c>
      <c r="G64" t="s">
        <v>11</v>
      </c>
    </row>
    <row r="65" spans="1:7" x14ac:dyDescent="0.25">
      <c r="A65" s="1">
        <v>45803</v>
      </c>
      <c r="B65" t="s">
        <v>10</v>
      </c>
      <c r="C65" t="s">
        <v>8</v>
      </c>
      <c r="D65">
        <v>10</v>
      </c>
      <c r="E65">
        <v>200</v>
      </c>
      <c r="F65" s="4">
        <v>2000</v>
      </c>
      <c r="G65" t="s">
        <v>11</v>
      </c>
    </row>
    <row r="66" spans="1:7" x14ac:dyDescent="0.25">
      <c r="A66" s="1">
        <v>45816</v>
      </c>
      <c r="B66" t="s">
        <v>7</v>
      </c>
      <c r="C66" t="s">
        <v>8</v>
      </c>
      <c r="D66">
        <v>7</v>
      </c>
      <c r="E66">
        <v>300</v>
      </c>
      <c r="F66" s="4">
        <v>2100</v>
      </c>
      <c r="G66" t="s">
        <v>9</v>
      </c>
    </row>
    <row r="67" spans="1:7" x14ac:dyDescent="0.25">
      <c r="A67" s="1">
        <v>45724</v>
      </c>
      <c r="B67" t="s">
        <v>10</v>
      </c>
      <c r="C67" t="s">
        <v>8</v>
      </c>
      <c r="D67">
        <v>6</v>
      </c>
      <c r="E67">
        <v>75</v>
      </c>
      <c r="F67" s="4">
        <v>450</v>
      </c>
      <c r="G67" t="s">
        <v>9</v>
      </c>
    </row>
    <row r="68" spans="1:7" x14ac:dyDescent="0.25">
      <c r="A68" s="1">
        <v>45759</v>
      </c>
      <c r="B68" t="s">
        <v>10</v>
      </c>
      <c r="C68" t="s">
        <v>8</v>
      </c>
      <c r="D68">
        <v>5</v>
      </c>
      <c r="E68">
        <v>150</v>
      </c>
      <c r="F68" s="4">
        <v>750</v>
      </c>
      <c r="G68" t="s">
        <v>9</v>
      </c>
    </row>
    <row r="69" spans="1:7" x14ac:dyDescent="0.25">
      <c r="A69" s="1">
        <v>45676</v>
      </c>
      <c r="B69" t="s">
        <v>7</v>
      </c>
      <c r="C69" t="s">
        <v>8</v>
      </c>
      <c r="D69">
        <v>8</v>
      </c>
      <c r="E69">
        <v>200</v>
      </c>
      <c r="F69" s="4">
        <v>1600</v>
      </c>
      <c r="G69" t="s">
        <v>11</v>
      </c>
    </row>
    <row r="70" spans="1:7" x14ac:dyDescent="0.25">
      <c r="A70" s="1">
        <v>45676</v>
      </c>
      <c r="B70" t="s">
        <v>16</v>
      </c>
      <c r="C70" t="s">
        <v>13</v>
      </c>
      <c r="D70">
        <v>4</v>
      </c>
      <c r="E70">
        <v>200</v>
      </c>
      <c r="F70" s="4">
        <v>800</v>
      </c>
      <c r="G70" t="s">
        <v>9</v>
      </c>
    </row>
    <row r="71" spans="1:7" x14ac:dyDescent="0.25">
      <c r="A71" s="1">
        <v>45691</v>
      </c>
      <c r="B71" t="s">
        <v>18</v>
      </c>
      <c r="C71" t="s">
        <v>13</v>
      </c>
      <c r="D71">
        <v>2</v>
      </c>
      <c r="E71">
        <v>75</v>
      </c>
      <c r="F71" s="4">
        <v>150</v>
      </c>
      <c r="G71" t="s">
        <v>9</v>
      </c>
    </row>
    <row r="72" spans="1:7" x14ac:dyDescent="0.25">
      <c r="A72" s="1">
        <v>45730</v>
      </c>
      <c r="B72" t="s">
        <v>10</v>
      </c>
      <c r="C72" t="s">
        <v>8</v>
      </c>
      <c r="D72">
        <v>8</v>
      </c>
      <c r="E72">
        <v>200</v>
      </c>
      <c r="F72" s="4">
        <v>1600</v>
      </c>
      <c r="G72" t="s">
        <v>9</v>
      </c>
    </row>
    <row r="73" spans="1:7" x14ac:dyDescent="0.25">
      <c r="A73" s="1">
        <v>45814</v>
      </c>
      <c r="B73" t="s">
        <v>12</v>
      </c>
      <c r="C73" t="s">
        <v>13</v>
      </c>
      <c r="D73">
        <v>9</v>
      </c>
      <c r="E73">
        <v>50</v>
      </c>
      <c r="F73" s="4">
        <v>450</v>
      </c>
      <c r="G73" t="s">
        <v>9</v>
      </c>
    </row>
    <row r="74" spans="1:7" x14ac:dyDescent="0.25">
      <c r="A74" s="1">
        <v>45827</v>
      </c>
      <c r="B74" t="s">
        <v>7</v>
      </c>
      <c r="C74" t="s">
        <v>8</v>
      </c>
      <c r="D74">
        <v>3</v>
      </c>
      <c r="E74">
        <v>100</v>
      </c>
      <c r="F74" s="4">
        <v>300</v>
      </c>
      <c r="G74" t="s">
        <v>11</v>
      </c>
    </row>
    <row r="75" spans="1:7" x14ac:dyDescent="0.25">
      <c r="A75" s="1">
        <v>45685</v>
      </c>
      <c r="B75" t="s">
        <v>12</v>
      </c>
      <c r="C75" t="s">
        <v>13</v>
      </c>
      <c r="D75">
        <v>9</v>
      </c>
      <c r="E75">
        <v>75</v>
      </c>
      <c r="F75" s="4">
        <v>675</v>
      </c>
      <c r="G75" t="s">
        <v>9</v>
      </c>
    </row>
    <row r="76" spans="1:7" x14ac:dyDescent="0.25">
      <c r="A76" s="1">
        <v>45730</v>
      </c>
      <c r="B76" t="s">
        <v>16</v>
      </c>
      <c r="C76" t="s">
        <v>13</v>
      </c>
      <c r="D76">
        <v>4</v>
      </c>
      <c r="E76">
        <v>300</v>
      </c>
      <c r="F76" s="4">
        <v>1200</v>
      </c>
      <c r="G76" t="s">
        <v>9</v>
      </c>
    </row>
    <row r="77" spans="1:7" x14ac:dyDescent="0.25">
      <c r="A77" s="1">
        <v>45710</v>
      </c>
      <c r="B77" t="s">
        <v>12</v>
      </c>
      <c r="C77" t="s">
        <v>13</v>
      </c>
      <c r="D77">
        <v>5</v>
      </c>
      <c r="E77">
        <v>200</v>
      </c>
      <c r="F77" s="4">
        <v>1000</v>
      </c>
      <c r="G77" t="s">
        <v>14</v>
      </c>
    </row>
    <row r="78" spans="1:7" x14ac:dyDescent="0.25">
      <c r="A78" s="1">
        <v>45722</v>
      </c>
      <c r="B78" t="s">
        <v>7</v>
      </c>
      <c r="C78" t="s">
        <v>8</v>
      </c>
      <c r="D78">
        <v>2</v>
      </c>
      <c r="E78">
        <v>300</v>
      </c>
      <c r="F78" s="4">
        <v>600</v>
      </c>
      <c r="G78" t="s">
        <v>14</v>
      </c>
    </row>
    <row r="79" spans="1:7" x14ac:dyDescent="0.25">
      <c r="A79" s="1">
        <v>45728</v>
      </c>
      <c r="B79" t="s">
        <v>7</v>
      </c>
      <c r="C79" t="s">
        <v>8</v>
      </c>
      <c r="D79">
        <v>1</v>
      </c>
      <c r="E79">
        <v>100</v>
      </c>
      <c r="F79" s="4">
        <v>100</v>
      </c>
      <c r="G79" t="s">
        <v>15</v>
      </c>
    </row>
    <row r="80" spans="1:7" x14ac:dyDescent="0.25">
      <c r="A80" s="1">
        <v>45821</v>
      </c>
      <c r="B80" t="s">
        <v>18</v>
      </c>
      <c r="C80" t="s">
        <v>13</v>
      </c>
      <c r="D80">
        <v>3</v>
      </c>
      <c r="E80">
        <v>300</v>
      </c>
      <c r="F80" s="4">
        <v>900</v>
      </c>
      <c r="G80" t="s">
        <v>14</v>
      </c>
    </row>
    <row r="81" spans="1:7" x14ac:dyDescent="0.25">
      <c r="A81" s="1">
        <v>45799</v>
      </c>
      <c r="B81" t="s">
        <v>12</v>
      </c>
      <c r="C81" t="s">
        <v>13</v>
      </c>
      <c r="D81">
        <v>7</v>
      </c>
      <c r="E81">
        <v>200</v>
      </c>
      <c r="F81" s="4">
        <v>1400</v>
      </c>
      <c r="G81" t="s">
        <v>11</v>
      </c>
    </row>
    <row r="82" spans="1:7" x14ac:dyDescent="0.25">
      <c r="A82" s="1">
        <v>45686</v>
      </c>
      <c r="B82" t="s">
        <v>7</v>
      </c>
      <c r="C82" t="s">
        <v>8</v>
      </c>
      <c r="D82">
        <v>3</v>
      </c>
      <c r="E82">
        <v>200</v>
      </c>
      <c r="F82" s="4">
        <v>600</v>
      </c>
      <c r="G82" t="s">
        <v>11</v>
      </c>
    </row>
    <row r="83" spans="1:7" x14ac:dyDescent="0.25">
      <c r="A83" s="1">
        <v>45752</v>
      </c>
      <c r="B83" t="s">
        <v>16</v>
      </c>
      <c r="C83" t="s">
        <v>13</v>
      </c>
      <c r="D83">
        <v>9</v>
      </c>
      <c r="E83">
        <v>75</v>
      </c>
      <c r="F83" s="4">
        <v>675</v>
      </c>
      <c r="G83" t="s">
        <v>14</v>
      </c>
    </row>
    <row r="84" spans="1:7" x14ac:dyDescent="0.25">
      <c r="A84" s="1">
        <v>45690</v>
      </c>
      <c r="B84" t="s">
        <v>7</v>
      </c>
      <c r="C84" t="s">
        <v>8</v>
      </c>
      <c r="D84">
        <v>5</v>
      </c>
      <c r="E84">
        <v>100</v>
      </c>
      <c r="F84" s="4">
        <v>500</v>
      </c>
      <c r="G84" t="s">
        <v>11</v>
      </c>
    </row>
    <row r="85" spans="1:7" x14ac:dyDescent="0.25">
      <c r="A85" s="1">
        <v>45749</v>
      </c>
      <c r="B85" t="s">
        <v>10</v>
      </c>
      <c r="C85" t="s">
        <v>8</v>
      </c>
      <c r="D85">
        <v>4</v>
      </c>
      <c r="E85">
        <v>300</v>
      </c>
      <c r="F85" s="4">
        <v>1200</v>
      </c>
      <c r="G85" t="s">
        <v>11</v>
      </c>
    </row>
    <row r="86" spans="1:7" x14ac:dyDescent="0.25">
      <c r="A86" s="1">
        <v>45748</v>
      </c>
      <c r="B86" t="s">
        <v>16</v>
      </c>
      <c r="C86" t="s">
        <v>13</v>
      </c>
      <c r="D86">
        <v>7</v>
      </c>
      <c r="E86">
        <v>200</v>
      </c>
      <c r="F86" s="4">
        <v>1400</v>
      </c>
      <c r="G86" t="s">
        <v>15</v>
      </c>
    </row>
    <row r="87" spans="1:7" x14ac:dyDescent="0.25">
      <c r="A87" s="1">
        <v>45718</v>
      </c>
      <c r="B87" t="s">
        <v>10</v>
      </c>
      <c r="C87" t="s">
        <v>8</v>
      </c>
      <c r="D87">
        <v>3</v>
      </c>
      <c r="E87">
        <v>150</v>
      </c>
      <c r="F87" s="4">
        <v>450</v>
      </c>
      <c r="G87" t="s">
        <v>11</v>
      </c>
    </row>
    <row r="88" spans="1:7" x14ac:dyDescent="0.25">
      <c r="A88" s="1">
        <v>45703</v>
      </c>
      <c r="B88" t="s">
        <v>12</v>
      </c>
      <c r="C88" t="s">
        <v>13</v>
      </c>
      <c r="D88">
        <v>6</v>
      </c>
      <c r="E88">
        <v>150</v>
      </c>
      <c r="F88" s="4">
        <v>900</v>
      </c>
      <c r="G88" t="s">
        <v>15</v>
      </c>
    </row>
    <row r="89" spans="1:7" x14ac:dyDescent="0.25">
      <c r="A89" s="1">
        <v>45726</v>
      </c>
      <c r="B89" t="s">
        <v>10</v>
      </c>
      <c r="C89" t="s">
        <v>8</v>
      </c>
      <c r="D89">
        <v>2</v>
      </c>
      <c r="E89">
        <v>150</v>
      </c>
      <c r="F89" s="4">
        <v>300</v>
      </c>
      <c r="G89" t="s">
        <v>11</v>
      </c>
    </row>
    <row r="90" spans="1:7" x14ac:dyDescent="0.25">
      <c r="A90" s="1">
        <v>45778</v>
      </c>
      <c r="B90" t="s">
        <v>10</v>
      </c>
      <c r="C90" t="s">
        <v>8</v>
      </c>
      <c r="D90">
        <v>4</v>
      </c>
      <c r="E90">
        <v>150</v>
      </c>
      <c r="F90" s="4">
        <v>600</v>
      </c>
      <c r="G90" t="s">
        <v>9</v>
      </c>
    </row>
    <row r="91" spans="1:7" x14ac:dyDescent="0.25">
      <c r="A91" s="1">
        <v>45736</v>
      </c>
      <c r="B91" t="s">
        <v>10</v>
      </c>
      <c r="C91" t="s">
        <v>8</v>
      </c>
      <c r="D91">
        <v>4</v>
      </c>
      <c r="E91">
        <v>50</v>
      </c>
      <c r="F91" s="4">
        <v>200</v>
      </c>
      <c r="G91" t="s">
        <v>15</v>
      </c>
    </row>
    <row r="92" spans="1:7" x14ac:dyDescent="0.25">
      <c r="A92" s="1">
        <v>45760</v>
      </c>
      <c r="B92" t="s">
        <v>18</v>
      </c>
      <c r="C92" t="s">
        <v>13</v>
      </c>
      <c r="D92">
        <v>5</v>
      </c>
      <c r="E92">
        <v>50</v>
      </c>
      <c r="F92" s="4">
        <v>250</v>
      </c>
      <c r="G92" t="s">
        <v>9</v>
      </c>
    </row>
    <row r="93" spans="1:7" x14ac:dyDescent="0.25">
      <c r="A93" s="1">
        <v>45747</v>
      </c>
      <c r="B93" t="s">
        <v>12</v>
      </c>
      <c r="C93" t="s">
        <v>13</v>
      </c>
      <c r="D93">
        <v>9</v>
      </c>
      <c r="E93">
        <v>150</v>
      </c>
      <c r="F93" s="4">
        <v>1350</v>
      </c>
      <c r="G93" t="s">
        <v>9</v>
      </c>
    </row>
    <row r="94" spans="1:7" x14ac:dyDescent="0.25">
      <c r="A94" s="1">
        <v>45665</v>
      </c>
      <c r="B94" t="s">
        <v>7</v>
      </c>
      <c r="C94" t="s">
        <v>8</v>
      </c>
      <c r="D94">
        <v>5</v>
      </c>
      <c r="E94">
        <v>75</v>
      </c>
      <c r="F94" s="4">
        <v>375</v>
      </c>
      <c r="G94" t="s">
        <v>9</v>
      </c>
    </row>
    <row r="95" spans="1:7" x14ac:dyDescent="0.25">
      <c r="A95" s="1">
        <v>45667</v>
      </c>
      <c r="B95" t="s">
        <v>7</v>
      </c>
      <c r="C95" t="s">
        <v>8</v>
      </c>
      <c r="D95">
        <v>10</v>
      </c>
      <c r="E95">
        <v>150</v>
      </c>
      <c r="F95" s="4">
        <v>1500</v>
      </c>
      <c r="G95" t="s">
        <v>9</v>
      </c>
    </row>
    <row r="96" spans="1:7" x14ac:dyDescent="0.25">
      <c r="A96" s="1">
        <v>45738</v>
      </c>
      <c r="B96" t="s">
        <v>17</v>
      </c>
      <c r="C96" t="s">
        <v>8</v>
      </c>
      <c r="D96">
        <v>10</v>
      </c>
      <c r="E96">
        <v>200</v>
      </c>
      <c r="F96" s="4">
        <v>2000</v>
      </c>
      <c r="G96" t="s">
        <v>11</v>
      </c>
    </row>
    <row r="97" spans="1:7" x14ac:dyDescent="0.25">
      <c r="A97" s="1">
        <v>45756</v>
      </c>
      <c r="B97" t="s">
        <v>16</v>
      </c>
      <c r="C97" t="s">
        <v>13</v>
      </c>
      <c r="D97">
        <v>4</v>
      </c>
      <c r="E97">
        <v>100</v>
      </c>
      <c r="F97" s="4">
        <v>400</v>
      </c>
      <c r="G97" t="s">
        <v>11</v>
      </c>
    </row>
    <row r="98" spans="1:7" x14ac:dyDescent="0.25">
      <c r="A98" s="1">
        <v>45769</v>
      </c>
      <c r="B98" t="s">
        <v>7</v>
      </c>
      <c r="C98" t="s">
        <v>8</v>
      </c>
      <c r="D98">
        <v>9</v>
      </c>
      <c r="E98">
        <v>200</v>
      </c>
      <c r="F98" s="4">
        <v>1800</v>
      </c>
      <c r="G98" t="s">
        <v>15</v>
      </c>
    </row>
    <row r="99" spans="1:7" x14ac:dyDescent="0.25">
      <c r="A99" s="1">
        <v>45751</v>
      </c>
      <c r="B99" t="s">
        <v>17</v>
      </c>
      <c r="C99" t="s">
        <v>8</v>
      </c>
      <c r="D99">
        <v>2</v>
      </c>
      <c r="E99">
        <v>300</v>
      </c>
      <c r="F99" s="4">
        <v>600</v>
      </c>
      <c r="G99" t="s">
        <v>9</v>
      </c>
    </row>
    <row r="100" spans="1:7" x14ac:dyDescent="0.25">
      <c r="A100" s="1">
        <v>45817</v>
      </c>
      <c r="B100" t="s">
        <v>18</v>
      </c>
      <c r="C100" t="s">
        <v>13</v>
      </c>
      <c r="D100">
        <v>2</v>
      </c>
      <c r="E100">
        <v>300</v>
      </c>
      <c r="F100" s="4">
        <v>600</v>
      </c>
      <c r="G100" t="s">
        <v>9</v>
      </c>
    </row>
    <row r="101" spans="1:7" x14ac:dyDescent="0.25">
      <c r="A101" s="1">
        <v>45787</v>
      </c>
      <c r="B101" t="s">
        <v>18</v>
      </c>
      <c r="C101" t="s">
        <v>13</v>
      </c>
      <c r="D101">
        <v>7</v>
      </c>
      <c r="E101">
        <v>100</v>
      </c>
      <c r="F101" s="4">
        <v>700</v>
      </c>
      <c r="G101" t="s">
        <v>14</v>
      </c>
    </row>
    <row r="102" spans="1:7" x14ac:dyDescent="0.25">
      <c r="A102" s="1">
        <v>45836</v>
      </c>
      <c r="B102" t="s">
        <v>18</v>
      </c>
      <c r="C102" t="s">
        <v>13</v>
      </c>
      <c r="D102">
        <v>9</v>
      </c>
      <c r="E102">
        <v>75</v>
      </c>
      <c r="F102" s="4">
        <v>675</v>
      </c>
      <c r="G102" t="s">
        <v>15</v>
      </c>
    </row>
    <row r="103" spans="1:7" x14ac:dyDescent="0.25">
      <c r="A103" s="1">
        <v>45765</v>
      </c>
      <c r="B103" t="s">
        <v>12</v>
      </c>
      <c r="C103" t="s">
        <v>13</v>
      </c>
      <c r="D103">
        <v>7</v>
      </c>
      <c r="E103">
        <v>300</v>
      </c>
      <c r="F103" s="4">
        <v>2100</v>
      </c>
      <c r="G103" t="s">
        <v>15</v>
      </c>
    </row>
    <row r="104" spans="1:7" x14ac:dyDescent="0.25">
      <c r="A104" s="1">
        <v>45815</v>
      </c>
      <c r="B104" t="s">
        <v>16</v>
      </c>
      <c r="C104" t="s">
        <v>13</v>
      </c>
      <c r="D104">
        <v>5</v>
      </c>
      <c r="E104">
        <v>150</v>
      </c>
      <c r="F104" s="4">
        <v>750</v>
      </c>
      <c r="G104" t="s">
        <v>11</v>
      </c>
    </row>
    <row r="105" spans="1:7" x14ac:dyDescent="0.25">
      <c r="A105" s="1">
        <v>45735</v>
      </c>
      <c r="B105" t="s">
        <v>18</v>
      </c>
      <c r="C105" t="s">
        <v>13</v>
      </c>
      <c r="D105">
        <v>4</v>
      </c>
      <c r="E105">
        <v>150</v>
      </c>
      <c r="F105" s="4">
        <v>600</v>
      </c>
      <c r="G105" t="s">
        <v>9</v>
      </c>
    </row>
    <row r="106" spans="1:7" x14ac:dyDescent="0.25">
      <c r="A106" s="1">
        <v>45777</v>
      </c>
      <c r="B106" t="s">
        <v>17</v>
      </c>
      <c r="C106" t="s">
        <v>8</v>
      </c>
      <c r="D106">
        <v>8</v>
      </c>
      <c r="E106">
        <v>300</v>
      </c>
      <c r="F106" s="4">
        <v>2400</v>
      </c>
      <c r="G106" t="s">
        <v>15</v>
      </c>
    </row>
    <row r="107" spans="1:7" x14ac:dyDescent="0.25">
      <c r="A107" s="1">
        <v>45788</v>
      </c>
      <c r="B107" t="s">
        <v>17</v>
      </c>
      <c r="C107" t="s">
        <v>8</v>
      </c>
      <c r="D107">
        <v>3</v>
      </c>
      <c r="E107">
        <v>300</v>
      </c>
      <c r="F107" s="4">
        <v>900</v>
      </c>
      <c r="G107" t="s">
        <v>11</v>
      </c>
    </row>
    <row r="108" spans="1:7" x14ac:dyDescent="0.25">
      <c r="A108" s="1">
        <v>45730</v>
      </c>
      <c r="B108" t="s">
        <v>16</v>
      </c>
      <c r="C108" t="s">
        <v>13</v>
      </c>
      <c r="D108">
        <v>10</v>
      </c>
      <c r="E108">
        <v>100</v>
      </c>
      <c r="F108" s="4">
        <v>1000</v>
      </c>
      <c r="G108" t="s">
        <v>11</v>
      </c>
    </row>
    <row r="109" spans="1:7" x14ac:dyDescent="0.25">
      <c r="A109" s="1">
        <v>45718</v>
      </c>
      <c r="B109" t="s">
        <v>12</v>
      </c>
      <c r="C109" t="s">
        <v>13</v>
      </c>
      <c r="D109">
        <v>5</v>
      </c>
      <c r="E109">
        <v>75</v>
      </c>
      <c r="F109" s="4">
        <v>375</v>
      </c>
      <c r="G109" t="s">
        <v>15</v>
      </c>
    </row>
    <row r="110" spans="1:7" x14ac:dyDescent="0.25">
      <c r="A110" s="1">
        <v>45695</v>
      </c>
      <c r="B110" t="s">
        <v>7</v>
      </c>
      <c r="C110" t="s">
        <v>8</v>
      </c>
      <c r="D110">
        <v>1</v>
      </c>
      <c r="E110">
        <v>75</v>
      </c>
      <c r="F110" s="4">
        <v>75</v>
      </c>
      <c r="G110" t="s">
        <v>14</v>
      </c>
    </row>
    <row r="111" spans="1:7" x14ac:dyDescent="0.25">
      <c r="A111" s="1">
        <v>45814</v>
      </c>
      <c r="B111" t="s">
        <v>7</v>
      </c>
      <c r="C111" t="s">
        <v>8</v>
      </c>
      <c r="D111">
        <v>8</v>
      </c>
      <c r="E111">
        <v>150</v>
      </c>
      <c r="F111" s="4">
        <v>1200</v>
      </c>
      <c r="G111" t="s">
        <v>15</v>
      </c>
    </row>
    <row r="112" spans="1:7" x14ac:dyDescent="0.25">
      <c r="A112" s="1">
        <v>45836</v>
      </c>
      <c r="B112" t="s">
        <v>17</v>
      </c>
      <c r="C112" t="s">
        <v>8</v>
      </c>
      <c r="D112">
        <v>8</v>
      </c>
      <c r="E112">
        <v>150</v>
      </c>
      <c r="F112" s="4">
        <v>1200</v>
      </c>
      <c r="G112" t="s">
        <v>15</v>
      </c>
    </row>
    <row r="113" spans="1:7" x14ac:dyDescent="0.25">
      <c r="A113" s="1">
        <v>45695</v>
      </c>
      <c r="B113" t="s">
        <v>12</v>
      </c>
      <c r="C113" t="s">
        <v>13</v>
      </c>
      <c r="D113">
        <v>1</v>
      </c>
      <c r="E113">
        <v>50</v>
      </c>
      <c r="F113" s="4">
        <v>50</v>
      </c>
      <c r="G113" t="s">
        <v>14</v>
      </c>
    </row>
    <row r="114" spans="1:7" x14ac:dyDescent="0.25">
      <c r="A114" s="1">
        <v>45714</v>
      </c>
      <c r="B114" t="s">
        <v>10</v>
      </c>
      <c r="C114" t="s">
        <v>8</v>
      </c>
      <c r="D114">
        <v>9</v>
      </c>
      <c r="E114">
        <v>150</v>
      </c>
      <c r="F114" s="4">
        <v>1350</v>
      </c>
      <c r="G114" t="s">
        <v>11</v>
      </c>
    </row>
    <row r="115" spans="1:7" x14ac:dyDescent="0.25">
      <c r="A115" s="1">
        <v>45800</v>
      </c>
      <c r="B115" t="s">
        <v>10</v>
      </c>
      <c r="C115" t="s">
        <v>8</v>
      </c>
      <c r="D115">
        <v>2</v>
      </c>
      <c r="E115">
        <v>150</v>
      </c>
      <c r="F115" s="4">
        <v>300</v>
      </c>
      <c r="G115" t="s">
        <v>15</v>
      </c>
    </row>
    <row r="116" spans="1:7" x14ac:dyDescent="0.25">
      <c r="A116" s="1">
        <v>45776</v>
      </c>
      <c r="B116" t="s">
        <v>12</v>
      </c>
      <c r="C116" t="s">
        <v>13</v>
      </c>
      <c r="D116">
        <v>9</v>
      </c>
      <c r="E116">
        <v>200</v>
      </c>
      <c r="F116" s="4">
        <v>1800</v>
      </c>
      <c r="G116" t="s">
        <v>9</v>
      </c>
    </row>
    <row r="117" spans="1:7" x14ac:dyDescent="0.25">
      <c r="A117" s="1">
        <v>45771</v>
      </c>
      <c r="B117" t="s">
        <v>16</v>
      </c>
      <c r="C117" t="s">
        <v>13</v>
      </c>
      <c r="D117">
        <v>9</v>
      </c>
      <c r="E117">
        <v>150</v>
      </c>
      <c r="F117" s="4">
        <v>1350</v>
      </c>
      <c r="G117" t="s">
        <v>14</v>
      </c>
    </row>
    <row r="118" spans="1:7" x14ac:dyDescent="0.25">
      <c r="A118" s="1">
        <v>45698</v>
      </c>
      <c r="B118" t="s">
        <v>12</v>
      </c>
      <c r="C118" t="s">
        <v>13</v>
      </c>
      <c r="D118">
        <v>8</v>
      </c>
      <c r="E118">
        <v>150</v>
      </c>
      <c r="F118" s="4">
        <v>1200</v>
      </c>
      <c r="G118" t="s">
        <v>9</v>
      </c>
    </row>
    <row r="119" spans="1:7" x14ac:dyDescent="0.25">
      <c r="A119" s="1">
        <v>45721</v>
      </c>
      <c r="B119" t="s">
        <v>12</v>
      </c>
      <c r="C119" t="s">
        <v>13</v>
      </c>
      <c r="D119">
        <v>5</v>
      </c>
      <c r="E119">
        <v>200</v>
      </c>
      <c r="F119" s="4">
        <v>1000</v>
      </c>
      <c r="G119" t="s">
        <v>14</v>
      </c>
    </row>
    <row r="120" spans="1:7" x14ac:dyDescent="0.25">
      <c r="A120" s="1">
        <v>45818</v>
      </c>
      <c r="B120" t="s">
        <v>10</v>
      </c>
      <c r="C120" t="s">
        <v>8</v>
      </c>
      <c r="D120">
        <v>5</v>
      </c>
      <c r="E120">
        <v>150</v>
      </c>
      <c r="F120" s="4">
        <v>750</v>
      </c>
      <c r="G120" t="s">
        <v>11</v>
      </c>
    </row>
    <row r="121" spans="1:7" x14ac:dyDescent="0.25">
      <c r="A121" s="1">
        <v>45731</v>
      </c>
      <c r="B121" t="s">
        <v>10</v>
      </c>
      <c r="C121" t="s">
        <v>8</v>
      </c>
      <c r="D121">
        <v>5</v>
      </c>
      <c r="E121">
        <v>100</v>
      </c>
      <c r="F121" s="4">
        <v>500</v>
      </c>
      <c r="G121" t="s">
        <v>9</v>
      </c>
    </row>
    <row r="124" spans="1:7" x14ac:dyDescent="0.25">
      <c r="A124" t="s">
        <v>28</v>
      </c>
      <c r="F124" s="4">
        <f>SUM(Sales_Dataset_Upwork_Portfolio[Total Sales ($)])</f>
        <v>93575</v>
      </c>
    </row>
    <row r="125" spans="1:7" x14ac:dyDescent="0.25">
      <c r="A125" t="s">
        <v>29</v>
      </c>
      <c r="F125" s="4">
        <f>AVERAGE(Sales_Dataset_Upwork_Portfolio[Total Sales ($)])</f>
        <v>779.79166666666663</v>
      </c>
    </row>
    <row r="126" spans="1:7" x14ac:dyDescent="0.25">
      <c r="A126" t="s">
        <v>30</v>
      </c>
      <c r="F126" s="4">
        <f>MAX(Sales_Dataset_Upwork_Portfolio[Total Sales ($)])</f>
        <v>2700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CE5B2-73FD-4793-B8F8-CEF733899C5B}">
  <dimension ref="A1"/>
  <sheetViews>
    <sheetView showGridLines="0" zoomScale="85" zoomScaleNormal="85" workbookViewId="0">
      <selection activeCell="P17" sqref="P1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FE733E-78EE-4C09-AC6B-83009AD79F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 &amp; CHART</vt:lpstr>
      <vt:lpstr>Sales_Dataset_Upwork_Portfolio</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Omolara</dc:creator>
  <cp:lastModifiedBy>Omolara</cp:lastModifiedBy>
  <cp:lastPrinted>2026-02-05T23:10:04Z</cp:lastPrinted>
  <dcterms:created xsi:type="dcterms:W3CDTF">2026-02-05T15:38:32Z</dcterms:created>
  <dcterms:modified xsi:type="dcterms:W3CDTF">2026-02-05T23:10:20Z</dcterms:modified>
</cp:coreProperties>
</file>